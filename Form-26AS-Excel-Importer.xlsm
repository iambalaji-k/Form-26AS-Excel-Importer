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vksin.sharepoint.com/sites/team1/Shared Documents/General/"/>
    </mc:Choice>
  </mc:AlternateContent>
  <xr:revisionPtr revIDLastSave="332" documentId="13_ncr:1_{3F66ACD6-BB98-400A-A490-553A4ADCFAEE}" xr6:coauthVersionLast="47" xr6:coauthVersionMax="47" xr10:uidLastSave="{FDB77767-BCD3-4A6B-A84D-D257F7590206}"/>
  <bookViews>
    <workbookView xWindow="-108" yWindow="-108" windowWidth="23256" windowHeight="12456" tabRatio="648" activeTab="3" xr2:uid="{FC584880-3682-4D55-ACE3-73608B666690}"/>
  </bookViews>
  <sheets>
    <sheet name="Import" sheetId="1" r:id="rId1"/>
    <sheet name="Deductee" sheetId="3" r:id="rId2"/>
    <sheet name="TDSdetailed" sheetId="4" r:id="rId3"/>
    <sheet name="TDSsummary" sheetId="5" r:id="rId4"/>
    <sheet name="15G_15Hdetailed" sheetId="6" r:id="rId5"/>
    <sheet name="15G_15Hsummary" sheetId="7" r:id="rId6"/>
    <sheet name="Sec194B194R(1)" sheetId="8" r:id="rId7"/>
    <sheet name="194IA" sheetId="9" r:id="rId8"/>
    <sheet name="194S(1)" sheetId="10" r:id="rId9"/>
    <sheet name="TCSdetailed" sheetId="11" r:id="rId10"/>
    <sheet name="TCSsummary" sheetId="12" r:id="rId11"/>
    <sheet name="Paid Refund" sheetId="13" r:id="rId12"/>
    <sheet name="TDS194IA" sheetId="14" r:id="rId13"/>
    <sheet name="DemandPayments" sheetId="15" r:id="rId14"/>
    <sheet name="TDS_TCS Defaults" sheetId="16" r:id="rId15"/>
  </sheets>
  <definedNames>
    <definedName name="ExternalData_1" localSheetId="1" hidden="1">Deductee!$A$5:$B$17</definedName>
    <definedName name="ExternalData_10" localSheetId="10" hidden="1">TCSsummary!$A$5:$F$6</definedName>
    <definedName name="ExternalData_11" localSheetId="11" hidden="1">'Paid Refund'!$A$5:$I$6</definedName>
    <definedName name="ExternalData_12" localSheetId="12" hidden="1">TDS194IA!$A$5:$H$6</definedName>
    <definedName name="ExternalData_13" localSheetId="13" hidden="1">DemandPayments!$A$5:$G$6</definedName>
    <definedName name="ExternalData_14" localSheetId="14" hidden="1">'TDS_TCS Defaults'!$A$5:$I$6</definedName>
    <definedName name="ExternalData_2" localSheetId="2" hidden="1">TDSdetailed!$A$5:$K$27</definedName>
    <definedName name="ExternalData_3" localSheetId="3" hidden="1">TDSsummary!$A$5:$F$8</definedName>
    <definedName name="ExternalData_4" localSheetId="4" hidden="1">'15G_15Hdetailed'!$A$5:$J$6</definedName>
    <definedName name="ExternalData_5" localSheetId="5" hidden="1">'15G_15Hsummary'!$A$5:$F$6</definedName>
    <definedName name="ExternalData_6" localSheetId="6" hidden="1">'Sec194B194R(1)'!$A$5:$J$6</definedName>
    <definedName name="ExternalData_7" localSheetId="7" hidden="1">'194IA'!$A$5:$G$6</definedName>
    <definedName name="ExternalData_8" localSheetId="8" hidden="1">'194S(1)'!$A$5:$F$6</definedName>
    <definedName name="ExternalData_9" localSheetId="9" hidden="1">TCSdetailed!$A$5:$K$22</definedName>
    <definedName name="pSourceFilePath">"D:\Apps\26AS File Exporter\temp_extract\AAMCA2212P-2025.txt"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/>
  <c r="A1" i="4" s="1"/>
  <c r="A2" i="3"/>
  <c r="A2" i="16" s="1"/>
  <c r="A2" i="9" l="1"/>
  <c r="A1" i="12"/>
  <c r="A2" i="5"/>
  <c r="A2" i="13"/>
  <c r="A1" i="6"/>
  <c r="A1" i="7"/>
  <c r="A1" i="10"/>
  <c r="A1" i="8"/>
  <c r="A1" i="11"/>
  <c r="A1" i="14"/>
  <c r="A2" i="14"/>
  <c r="A1" i="15"/>
  <c r="A2" i="10"/>
  <c r="A2" i="7"/>
  <c r="A2" i="11"/>
  <c r="A2" i="15"/>
  <c r="J1" i="16"/>
  <c r="A2" i="6"/>
  <c r="A2" i="8"/>
  <c r="A2" i="12"/>
  <c r="J2" i="16"/>
  <c r="A2" i="4"/>
  <c r="A1" i="5"/>
  <c r="A1" i="9"/>
  <c r="A1" i="13"/>
  <c r="A1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29763-0116-4735-A6B8-04A55931D39E}" keepAlive="1" name="Query - 15G_15Hdetailed" description="Connection to the '15G_15Hdetailed' query in the workbook." type="5" refreshedVersion="8" background="1" saveData="1">
    <dbPr connection="Provider=Microsoft.Mashup.OleDb.1;Data Source=$Workbook$;Location=15G_15Hdetailed;Extended Properties=&quot;&quot;" command="SELECT * FROM [15G_15Hdetailed]"/>
  </connection>
  <connection id="2" xr16:uid="{5E9F81AC-F12C-4E5C-A1D8-AC52AA016419}" keepAlive="1" name="Query - 15G_15Hsummary" description="Connection to the '15G_15Hsummary' query in the workbook." type="5" refreshedVersion="8" background="1" saveData="1">
    <dbPr connection="Provider=Microsoft.Mashup.OleDb.1;Data Source=$Workbook$;Location=15G_15Hsummary;Extended Properties=&quot;&quot;" command="SELECT * FROM [15G_15Hsummary]"/>
  </connection>
  <connection id="3" xr16:uid="{D0DD2B55-CF0C-4E5D-9593-39432EB153E5}" keepAlive="1" name="Query - 194IA" description="Connection to the '194IA' query in the workbook." type="5" refreshedVersion="8" background="1" saveData="1">
    <dbPr connection="Provider=Microsoft.Mashup.OleDb.1;Data Source=$Workbook$;Location=194IA;Extended Properties=&quot;&quot;" command="SELECT * FROM [194IA]"/>
  </connection>
  <connection id="4" xr16:uid="{1DD31AE9-EBF9-426B-B5AA-E751BEB38B87}" keepAlive="1" name="Query - 194S(1)" description="Connection to the '194S(1)' query in the workbook." type="5" refreshedVersion="8" background="1" saveData="1">
    <dbPr connection="Provider=Microsoft.Mashup.OleDb.1;Data Source=$Workbook$;Location=194S(1);Extended Properties=&quot;&quot;" command="SELECT * FROM [194S(1)]"/>
  </connection>
  <connection id="5" xr16:uid="{16213F8C-18AA-416F-924B-A073FD603DFD}" keepAlive="1" name="Query - 26AS" description="Connection to the '26AS' query in the workbook." type="5" refreshedVersion="8" background="1" saveData="1">
    <dbPr connection="Provider=Microsoft.Mashup.OleDb.1;Data Source=$Workbook$;Location=26AS;Extended Properties=&quot;&quot;" command="SELECT * FROM [26AS]"/>
  </connection>
  <connection id="6" xr16:uid="{AC3FD6A4-C90B-4EF4-9378-2E6453DEA592}" keepAlive="1" name="Query - Deductee" description="Connection to the 'Deductee' query in the workbook." type="5" refreshedVersion="8" background="1" saveData="1">
    <dbPr connection="Provider=Microsoft.Mashup.OleDb.1;Data Source=$Workbook$;Location=Deductee;Extended Properties=&quot;&quot;" command="SELECT * FROM [Deductee]"/>
  </connection>
  <connection id="7" xr16:uid="{BF438603-9902-42EC-B0C5-F8AD67AFE266}" keepAlive="1" name="Query - DemandPayments" description="Connection to the 'DemandPayments' query in the workbook." type="5" refreshedVersion="8" background="1" saveData="1">
    <dbPr connection="Provider=Microsoft.Mashup.OleDb.1;Data Source=$Workbook$;Location=DemandPayments;Extended Properties=&quot;&quot;" command="SELECT * FROM [DemandPayments]"/>
  </connection>
  <connection id="8" xr16:uid="{A305AB20-51E6-49A0-BA63-7BA748B1CEC3}" keepAlive="1" name="Query - Paid Refund" description="Connection to the 'Paid Refund' query in the workbook." type="5" refreshedVersion="8" background="1" saveData="1">
    <dbPr connection="Provider=Microsoft.Mashup.OleDb.1;Data Source=$Workbook$;Location=&quot;Paid Refund&quot;;Extended Properties=&quot;&quot;" command="SELECT * FROM [Paid Refund]"/>
  </connection>
  <connection id="9" xr16:uid="{74CE05EC-0F74-400C-872A-D5AFF2382054}" keepAlive="1" name="Query - Sec194B194R(1)" description="Connection to the 'Sec194B194R(1)' query in the workbook." type="5" refreshedVersion="8" background="1" saveData="1">
    <dbPr connection="Provider=Microsoft.Mashup.OleDb.1;Data Source=$Workbook$;Location=Sec194B194R(1);Extended Properties=&quot;&quot;" command="SELECT * FROM [Sec194B194R(1)]"/>
  </connection>
  <connection id="10" xr16:uid="{E108A4DB-D99C-4228-983D-21D2734EE9F5}" keepAlive="1" name="Query - TCSdetailed" description="Connection to the 'TCSdetailed' query in the workbook." type="5" refreshedVersion="8" background="1" saveData="1">
    <dbPr connection="Provider=Microsoft.Mashup.OleDb.1;Data Source=$Workbook$;Location=TCSdetailed;Extended Properties=&quot;&quot;" command="SELECT * FROM [TCSdetailed]"/>
  </connection>
  <connection id="11" xr16:uid="{9606A1E8-CF19-4CC1-80F6-817CC7FBD72E}" keepAlive="1" name="Query - TCSsummary" description="Connection to the 'TCSsummary' query in the workbook." type="5" refreshedVersion="8" background="1" saveData="1">
    <dbPr connection="Provider=Microsoft.Mashup.OleDb.1;Data Source=$Workbook$;Location=TCSsummary;Extended Properties=&quot;&quot;" command="SELECT * FROM [TCSsummary]"/>
  </connection>
  <connection id="12" xr16:uid="{FC32331C-5314-4074-8FE5-04F408A1060A}" keepAlive="1" name="Query - TDS/TCS Defaults" description="Connection to the 'TDS/TCS Defaults' query in the workbook." type="5" refreshedVersion="8" background="1" saveData="1">
    <dbPr connection="Provider=Microsoft.Mashup.OleDb.1;Data Source=$Workbook$;Location=&quot;TDS/TCS Defaults&quot;;Extended Properties=&quot;&quot;" command="SELECT * FROM [TDS/TCS Defaults]"/>
  </connection>
  <connection id="13" xr16:uid="{53F60F89-0176-4C46-9277-8DE2236E361E}" keepAlive="1" name="Query - TDS194IA" description="Connection to the 'TDS194IA' query in the workbook." type="5" refreshedVersion="8" background="1" saveData="1">
    <dbPr connection="Provider=Microsoft.Mashup.OleDb.1;Data Source=$Workbook$;Location=TDS194IA;Extended Properties=&quot;&quot;" command="SELECT * FROM [TDS194IA]"/>
  </connection>
  <connection id="14" xr16:uid="{3491408A-75F5-4909-9CC4-B100543E486F}" keepAlive="1" name="Query - TDSdetailed" description="Connection to the 'TDSdetailed' query in the workbook." type="5" refreshedVersion="8" background="1" saveData="1">
    <dbPr connection="Provider=Microsoft.Mashup.OleDb.1;Data Source=$Workbook$;Location=TDSdetailed;Extended Properties=&quot;&quot;" command="SELECT * FROM [TDSdetailed]"/>
  </connection>
  <connection id="15" xr16:uid="{C2C3DEE0-5F2F-42E2-9C3F-1F176E6C47D9}" keepAlive="1" name="Query - TDSsummary" description="Connection to the 'TDSsummary' query in the workbook." type="5" refreshedVersion="8" background="1" saveData="1">
    <dbPr connection="Provider=Microsoft.Mashup.OleDb.1;Data Source=$Workbook$;Location=TDSsummary;Extended Properties=&quot;&quot;" command="SELECT * FROM [TDSsummary]"/>
  </connection>
</connections>
</file>

<file path=xl/sharedStrings.xml><?xml version="1.0" encoding="utf-8"?>
<sst xmlns="http://schemas.openxmlformats.org/spreadsheetml/2006/main" count="386" uniqueCount="111">
  <si>
    <t>Deductee</t>
  </si>
  <si>
    <t>Particulars</t>
  </si>
  <si>
    <t>Details</t>
  </si>
  <si>
    <t>Permanent Account Number (PAN)</t>
  </si>
  <si>
    <t>Current Status of PAN</t>
  </si>
  <si>
    <t>Financial Year</t>
  </si>
  <si>
    <t>Assessment Year</t>
  </si>
  <si>
    <t>Name of Assessee</t>
  </si>
  <si>
    <t>Address Line 1</t>
  </si>
  <si>
    <t>Address Line 2</t>
  </si>
  <si>
    <t>Address Line 3</t>
  </si>
  <si>
    <t>Address Line 4</t>
  </si>
  <si>
    <t>Address Line 5</t>
  </si>
  <si>
    <t>Statecode</t>
  </si>
  <si>
    <t>Pin Code</t>
  </si>
  <si>
    <t>TDS Detailed</t>
  </si>
  <si>
    <t>S No</t>
  </si>
  <si>
    <t>Deductor Name</t>
  </si>
  <si>
    <t>Deductor TAN</t>
  </si>
  <si>
    <t>Section</t>
  </si>
  <si>
    <t>Transaction Date</t>
  </si>
  <si>
    <t>Status of Booking</t>
  </si>
  <si>
    <t>Date of Booking</t>
  </si>
  <si>
    <t>Remarks</t>
  </si>
  <si>
    <t>Total Amount Paid or credited</t>
  </si>
  <si>
    <t>Total Tax Deducted</t>
  </si>
  <si>
    <t>Total TDS Deposited</t>
  </si>
  <si>
    <t>TDS Summay</t>
  </si>
  <si>
    <t>Amount paid / Credited</t>
  </si>
  <si>
    <t>TDS Deducted</t>
  </si>
  <si>
    <t>TDS Deposited</t>
  </si>
  <si>
    <t>15G/15H  Detailed</t>
  </si>
  <si>
    <t>Booking Date</t>
  </si>
  <si>
    <t>Booking Status</t>
  </si>
  <si>
    <t/>
  </si>
  <si>
    <t>15G/15H  Summary</t>
  </si>
  <si>
    <t>Total Amount Paid or Credited</t>
  </si>
  <si>
    <t>Total Tax Deposited</t>
  </si>
  <si>
    <t>Details of Transactions under Proviso to section 194B/First Proviso to sub-section (1) of section 194R/ Proviso to sub-section(1) of section 194S/Sub-section (2) of section 194BA</t>
  </si>
  <si>
    <t>Name of Deductor</t>
  </si>
  <si>
    <t>TAN of Deductor</t>
  </si>
  <si>
    <t>Details of Tax Deducted at Source  u/s 194IA/ 194IB /  194M/  194S (For Seller/Landlord of Property/Contractors or professionals/ Seller of Virtual Digital Asset)</t>
  </si>
  <si>
    <t>Sr. No.</t>
  </si>
  <si>
    <t>Acknowledgement Number</t>
  </si>
  <si>
    <t>PAN of Deductor</t>
  </si>
  <si>
    <t>Total Transaction Amount(Rs.)</t>
  </si>
  <si>
    <t>Total TDS Deposited(Rs.)</t>
  </si>
  <si>
    <t>Details of Transactions under Proviso to sub-section(1) of section 194S as per Form-26QE (For Seller of Virtual Digital Asset)</t>
  </si>
  <si>
    <t>Name of Buyer</t>
  </si>
  <si>
    <t>PAN of Buyer</t>
  </si>
  <si>
    <t>TCS Detailed</t>
  </si>
  <si>
    <t>Collector Name</t>
  </si>
  <si>
    <t>Collector TAN</t>
  </si>
  <si>
    <t>Total Amount Paid or Debited</t>
  </si>
  <si>
    <t>Total Tax Collected</t>
  </si>
  <si>
    <t>Total TCS Deposited</t>
  </si>
  <si>
    <t>TCS Summary</t>
  </si>
  <si>
    <t>Amount paid / Debited</t>
  </si>
  <si>
    <t>TCS Collected</t>
  </si>
  <si>
    <t>TCS Deposited</t>
  </si>
  <si>
    <t>Details of Paid Refund (For which source is CPC TDS. For other details refer AIS at E-filing portal)</t>
  </si>
  <si>
    <t>Mode</t>
  </si>
  <si>
    <t>Refund Issued</t>
  </si>
  <si>
    <t>Nature of Refund</t>
  </si>
  <si>
    <t>Amount of Refund(Rs.)</t>
  </si>
  <si>
    <t>Interest(Rs.)</t>
  </si>
  <si>
    <t>Date of Payment</t>
  </si>
  <si>
    <t>Details of Tax Deducted at Source  u/s 194IA/ 194IB /194M/194S (For Buyer/Tenant of Property /Person making payment to contractors or Professionals/Buyer of Virtual Digital Asset)</t>
  </si>
  <si>
    <t>Name of Deductee</t>
  </si>
  <si>
    <t>PAN of Deductee</t>
  </si>
  <si>
    <t>Total Amount Deposited other than TDS(Rs.)</t>
  </si>
  <si>
    <t>Details of Transactions/Demand Payments under Proviso to sub-section(1) of section 194S as per Form 26QE (For Buyer of Virtual Digital Asset)</t>
  </si>
  <si>
    <t>Name of Seller</t>
  </si>
  <si>
    <t>PAN of Seller</t>
  </si>
  <si>
    <t>TDS/TCS Defaults* (Processing of Statements)</t>
  </si>
  <si>
    <t>Short Payment</t>
  </si>
  <si>
    <t>Short Deduction/Collection</t>
  </si>
  <si>
    <t>Interest on TDS/TCS Payments default</t>
  </si>
  <si>
    <t>Interest on TDS/TCS Deduction/Collection Default</t>
  </si>
  <si>
    <t>Late Filing Fee u/s 234E</t>
  </si>
  <si>
    <t>Interest u/s 220(2)</t>
  </si>
  <si>
    <t>Total Default</t>
  </si>
  <si>
    <t>ACTIVE AND OPERATIVE</t>
  </si>
  <si>
    <t>2024-2025</t>
  </si>
  <si>
    <t>2025-2026</t>
  </si>
  <si>
    <t>TAMIL NADU</t>
  </si>
  <si>
    <t>194A</t>
  </si>
  <si>
    <t>F</t>
  </si>
  <si>
    <t>-</t>
  </si>
  <si>
    <t>192</t>
  </si>
  <si>
    <t>*********** No Transactions Present **********</t>
  </si>
  <si>
    <t>GUINDY MACHINE TOOLS LTD</t>
  </si>
  <si>
    <t>CHET00638B</t>
  </si>
  <si>
    <t>DBS BANK INDIA LIMITED</t>
  </si>
  <si>
    <t>MUMD25408F</t>
  </si>
  <si>
    <t>THIRUVANMIYUR CHENNAI</t>
  </si>
  <si>
    <t>600041</t>
  </si>
  <si>
    <t>AIWPN1923H</t>
  </si>
  <si>
    <t>NIRANJAN SWAMINATHAN</t>
  </si>
  <si>
    <t>FLAT 1A 17 KALAKSHETHRA</t>
  </si>
  <si>
    <t>ROAD DIAMOND GITANJALI</t>
  </si>
  <si>
    <t>THIRUVANMIYUR</t>
  </si>
  <si>
    <t>CHENNAI</t>
  </si>
  <si>
    <t>BAAZI NETWORKS P LTD</t>
  </si>
  <si>
    <t>CALB15533A</t>
  </si>
  <si>
    <t>194B</t>
  </si>
  <si>
    <t>194BA</t>
  </si>
  <si>
    <t>B</t>
  </si>
  <si>
    <t>IDFC FIRST BANK LIMITED</t>
  </si>
  <si>
    <t>MUMI12389G</t>
  </si>
  <si>
    <t>206CQ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</si>
</sst>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1" applyNumberFormat="1" applyFont="1"/>
    <xf numFmtId="0" fontId="0" fillId="0" borderId="0" xfId="0" applyNumberFormat="1"/>
  </cellXfs>
  <cellStyles count="2">
    <cellStyle name="Comma" xfId="1" builtinId="3"/>
    <cellStyle name="Normal" xfId="0" builtinId="0"/>
  </cellStyles>
  <dxfs count="77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9" formatCode="dd/mm/yyyy"/>
    </dxf>
    <dxf>
      <numFmt numFmtId="19" formatCode="dd/mm/yyyy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font>
        <b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3</xdr:row>
          <xdr:rowOff>15240</xdr:rowOff>
        </xdr:from>
        <xdr:to>
          <xdr:col>2</xdr:col>
          <xdr:colOff>594360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CE1B7B16-B5C1-423D-BA16-D3A8B6B82024}" autoFormatId="16" applyNumberFormats="0" applyBorderFormats="0" applyFontFormats="0" applyPatternFormats="0" applyAlignmentFormats="0" applyWidthHeightFormats="0">
  <queryTableRefresh nextId="3">
    <queryTableFields count="2">
      <queryTableField id="1" name="Particulars" tableColumnId="1"/>
      <queryTableField id="2" name="Detail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FF851EC4-CEA2-4D79-9D2C-D14F9CD6704E}" autoFormatId="16" applyNumberFormats="0" applyBorderFormats="0" applyFontFormats="0" applyPatternFormats="0" applyAlignmentFormats="0" applyWidthHeightFormats="0">
  <queryTableRefresh nextId="12">
    <queryTableFields count="11">
      <queryTableField id="1" name="S No" tableColumnId="1"/>
      <queryTableField id="2" name="Deductor Name" tableColumnId="2"/>
      <queryTableField id="3" name="Deductor TAN" tableColumnId="3"/>
      <queryTableField id="4" name="Section" tableColumnId="4"/>
      <queryTableField id="5" name="Transaction Date" tableColumnId="5"/>
      <queryTableField id="6" name="Status of Booking" tableColumnId="6"/>
      <queryTableField id="7" name="Date of Booking" tableColumnId="7"/>
      <queryTableField id="8" name="Remarks" tableColumnId="8"/>
      <queryTableField id="9" name="Total Amount Paid or credited" tableColumnId="9"/>
      <queryTableField id="10" name="Total Tax Deducted" tableColumnId="10"/>
      <queryTableField id="11" name="Total TDS Deposited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5D69A3E6-CA99-4369-B630-6D53232BC463}" autoFormatId="16" applyNumberFormats="0" applyBorderFormats="0" applyFontFormats="0" applyPatternFormats="0" applyAlignmentFormats="0" applyWidthHeightFormats="0">
  <queryTableRefresh nextId="7">
    <queryTableFields count="6">
      <queryTableField id="1" name="S No" tableColumnId="1"/>
      <queryTableField id="2" name="Deductor Name" tableColumnId="2"/>
      <queryTableField id="3" name="Deductor TAN" tableColumnId="3"/>
      <queryTableField id="4" name="Amount paid / Credited" tableColumnId="4"/>
      <queryTableField id="5" name="TDS Deducted" tableColumnId="5"/>
      <queryTableField id="6" name="TDS Deposited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BD29953F-2968-42E5-8922-4DCF9E833ACE}" autoFormatId="16" applyNumberFormats="0" applyBorderFormats="0" applyFontFormats="0" applyPatternFormats="0" applyAlignmentFormats="0" applyWidthHeightFormats="0">
  <queryTableRefresh nextId="11">
    <queryTableFields count="10">
      <queryTableField id="1" name="S No" tableColumnId="1"/>
      <queryTableField id="2" name="Deductor Name" tableColumnId="2"/>
      <queryTableField id="3" name="Deductor TAN" tableColumnId="3"/>
      <queryTableField id="4" name="Section" tableColumnId="4"/>
      <queryTableField id="5" name="Transaction Date" tableColumnId="5"/>
      <queryTableField id="6" name="Booking Date" tableColumnId="6"/>
      <queryTableField id="7" name="Booking Status" tableColumnId="7"/>
      <queryTableField id="8" name="Total Amount Paid or credited" tableColumnId="8"/>
      <queryTableField id="9" name="Total Tax Deducted" tableColumnId="9"/>
      <queryTableField id="10" name="Total TDS Deposite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" xr16:uid="{08F25838-8A21-47EF-979B-A906B00F5825}" autoFormatId="16" applyNumberFormats="0" applyBorderFormats="0" applyFontFormats="0" applyPatternFormats="0" applyAlignmentFormats="0" applyWidthHeightFormats="0">
  <queryTableRefresh nextId="7">
    <queryTableFields count="6">
      <queryTableField id="1" name="S No" tableColumnId="1"/>
      <queryTableField id="2" name="Deductor TAN" tableColumnId="2"/>
      <queryTableField id="3" name="Deductor Name" tableColumnId="3"/>
      <queryTableField id="4" name="Total Amount Paid or Credited" tableColumnId="4"/>
      <queryTableField id="5" name="Total Tax Deducted" tableColumnId="5"/>
      <queryTableField id="6" name="Total Tax Deposited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9" xr16:uid="{22F9220F-4C80-46FA-912F-EAB2DCAC764E}" autoFormatId="16" applyNumberFormats="0" applyBorderFormats="0" applyFontFormats="0" applyPatternFormats="0" applyAlignmentFormats="0" applyWidthHeightFormats="0">
  <queryTableRefresh nextId="11">
    <queryTableFields count="10">
      <queryTableField id="1" name="S No" tableColumnId="1"/>
      <queryTableField id="2" name="Name of Deductor" tableColumnId="2"/>
      <queryTableField id="3" name="TAN of Deductor" tableColumnId="3"/>
      <queryTableField id="4" name="Transaction Date" tableColumnId="4"/>
      <queryTableField id="5" name="Status of Booking" tableColumnId="5"/>
      <queryTableField id="6" name="Date of Booking" tableColumnId="6"/>
      <queryTableField id="7" name="Remarks" tableColumnId="7"/>
      <queryTableField id="8" name="Total Amount Paid or credited" tableColumnId="8"/>
      <queryTableField id="9" name="Total Tax Deducted" tableColumnId="9"/>
      <queryTableField id="10" name="Total TDS Deposite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" xr16:uid="{4295E3AB-3F92-4079-AF28-AD9C58FBD189}" autoFormatId="16" applyNumberFormats="0" applyBorderFormats="0" applyFontFormats="0" applyPatternFormats="0" applyAlignmentFormats="0" applyWidthHeightFormats="0">
  <queryTableRefresh nextId="19">
    <queryTableFields count="7">
      <queryTableField id="11" name="Sr. No." tableColumnId="11"/>
      <queryTableField id="12" name="Acknowledgement Number" tableColumnId="12"/>
      <queryTableField id="2" name="Name of Deductor" tableColumnId="2"/>
      <queryTableField id="13" name="PAN of Deductor" tableColumnId="13"/>
      <queryTableField id="4" name="Transaction Date" tableColumnId="4"/>
      <queryTableField id="14" name="Total Transaction Amount(Rs.)" tableColumnId="14"/>
      <queryTableField id="15" name="Total TDS Deposited(Rs.)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62007B15-95F9-4758-87C1-417B7A113C00}" autoFormatId="16" applyNumberFormats="0" applyBorderFormats="0" applyFontFormats="0" applyPatternFormats="0" applyAlignmentFormats="0" applyWidthHeightFormats="0">
  <queryTableRefresh nextId="20">
    <queryTableFields count="6">
      <queryTableField id="11" name="Sr. No." tableColumnId="11"/>
      <queryTableField id="12" name="Acknowledgement Number" tableColumnId="12"/>
      <queryTableField id="13" name="Name of Buyer" tableColumnId="13"/>
      <queryTableField id="14" name="PAN of Buyer" tableColumnId="14"/>
      <queryTableField id="4" name="Transaction Date" tableColumnId="4"/>
      <queryTableField id="15" name="Total Transaction Amount(Rs.)" tableColumnId="1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" xr16:uid="{3776777A-E30B-458E-A8B9-CA78516ECE28}" autoFormatId="16" applyNumberFormats="0" applyBorderFormats="0" applyFontFormats="0" applyPatternFormats="0" applyAlignmentFormats="0" applyWidthHeightFormats="0">
  <queryTableRefresh nextId="12">
    <queryTableFields count="11">
      <queryTableField id="1" name="S No" tableColumnId="1"/>
      <queryTableField id="2" name="Collector Name" tableColumnId="2"/>
      <queryTableField id="3" name="Collector TAN" tableColumnId="3"/>
      <queryTableField id="4" name="Section" tableColumnId="4"/>
      <queryTableField id="5" name="Transaction Date" tableColumnId="5"/>
      <queryTableField id="6" name="Status of Booking" tableColumnId="6"/>
      <queryTableField id="7" name="Date of Booking" tableColumnId="7"/>
      <queryTableField id="8" name="Remarks" tableColumnId="8"/>
      <queryTableField id="9" name="Total Amount Paid or Debited" tableColumnId="9"/>
      <queryTableField id="10" name="Total Tax Collected" tableColumnId="10"/>
      <queryTableField id="11" name="Total TCS Deposited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1" xr16:uid="{FA16E5D6-38C6-40A9-8997-AC730D619AA3}" autoFormatId="16" applyNumberFormats="0" applyBorderFormats="0" applyFontFormats="0" applyPatternFormats="0" applyAlignmentFormats="0" applyWidthHeightFormats="0">
  <queryTableRefresh nextId="7">
    <queryTableFields count="6">
      <queryTableField id="1" name="S No" tableColumnId="1"/>
      <queryTableField id="2" name="Collector TAN" tableColumnId="2"/>
      <queryTableField id="3" name="Collector Name" tableColumnId="3"/>
      <queryTableField id="4" name="Amount paid / Debited" tableColumnId="4"/>
      <queryTableField id="5" name="TCS Collected" tableColumnId="5"/>
      <queryTableField id="6" name="TCS Deposited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8" xr16:uid="{B935DC06-563B-43D8-84EA-734C48CCECE1}" autoFormatId="16" applyNumberFormats="0" applyBorderFormats="0" applyFontFormats="0" applyPatternFormats="0" applyAlignmentFormats="0" applyWidthHeightFormats="0">
  <queryTableRefresh nextId="27">
    <queryTableFields count="9">
      <queryTableField id="11" name="Sr. No." tableColumnId="11"/>
      <queryTableField id="12" name="Assessment Year" tableColumnId="12"/>
      <queryTableField id="13" name="Mode" tableColumnId="13"/>
      <queryTableField id="14" name="Refund Issued" tableColumnId="14"/>
      <queryTableField id="15" name="Nature of Refund" tableColumnId="15"/>
      <queryTableField id="16" name="Amount of Refund(Rs.)" tableColumnId="16"/>
      <queryTableField id="17" name="Interest(Rs.)" tableColumnId="17"/>
      <queryTableField id="18" name="Date of Payment" tableColumnId="18"/>
      <queryTableField id="7" name="Remarks" tableColumnId="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3" xr16:uid="{9C2A595D-2609-405D-A3DB-210D40DDABFD}" autoFormatId="16" applyNumberFormats="0" applyBorderFormats="0" applyFontFormats="0" applyPatternFormats="0" applyAlignmentFormats="0" applyWidthHeightFormats="0">
  <queryTableRefresh nextId="22">
    <queryTableFields count="8">
      <queryTableField id="11" name="Sr. No." tableColumnId="11"/>
      <queryTableField id="12" name="Acknowledgement Number" tableColumnId="12"/>
      <queryTableField id="13" name="Name of Deductee" tableColumnId="13"/>
      <queryTableField id="14" name="PAN of Deductee" tableColumnId="14"/>
      <queryTableField id="4" name="Transaction Date" tableColumnId="4"/>
      <queryTableField id="15" name="Total Transaction Amount(Rs.)" tableColumnId="15"/>
      <queryTableField id="16" name="Total TDS Deposited(Rs.)" tableColumnId="16"/>
      <queryTableField id="17" name="Total Amount Deposited other than TDS(Rs.)" tableColumnId="1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" xr16:uid="{7B635E37-6AEC-470E-8FB6-32896ECE5872}" autoFormatId="16" applyNumberFormats="0" applyBorderFormats="0" applyFontFormats="0" applyPatternFormats="0" applyAlignmentFormats="0" applyWidthHeightFormats="0">
  <queryTableRefresh nextId="21">
    <queryTableFields count="7">
      <queryTableField id="11" name="Sr. No." tableColumnId="11"/>
      <queryTableField id="12" name="Acknowledgement Number" tableColumnId="12"/>
      <queryTableField id="13" name="Name of Seller" tableColumnId="13"/>
      <queryTableField id="14" name="PAN of Seller" tableColumnId="14"/>
      <queryTableField id="4" name="Transaction Date" tableColumnId="4"/>
      <queryTableField id="15" name="Total Transaction Amount(Rs.)" tableColumnId="15"/>
      <queryTableField id="16" name="Total Amount Deposited other than TDS(Rs.)" tableColumnId="1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2" xr16:uid="{136085E9-143B-454C-98F3-9B72EA5D57A1}" autoFormatId="16" applyNumberFormats="0" applyBorderFormats="0" applyFontFormats="0" applyPatternFormats="0" applyAlignmentFormats="0" applyWidthHeightFormats="0">
  <queryTableRefresh nextId="20">
    <queryTableFields count="9">
      <queryTableField id="11" name="Sr. No." tableColumnId="11"/>
      <queryTableField id="12" name="Financial Year" tableColumnId="12"/>
      <queryTableField id="13" name="Short Payment" tableColumnId="13"/>
      <queryTableField id="14" name="Short Deduction/Collection" tableColumnId="14"/>
      <queryTableField id="15" name="Interest on TDS/TCS Payments default" tableColumnId="15"/>
      <queryTableField id="16" name="Interest on TDS/TCS Deduction/Collection Default" tableColumnId="16"/>
      <queryTableField id="17" name="Late Filing Fee u/s 234E" tableColumnId="17"/>
      <queryTableField id="18" name="Interest u/s 220(2)" tableColumnId="18"/>
      <queryTableField id="19" name="Total Default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459471-A738-47C3-9ACD-9A796DCEC273}" name="Deductee" displayName="Deductee" ref="A5:B17" tableType="queryTable" totalsRowShown="0">
  <autoFilter ref="A5:B17" xr:uid="{89459471-A738-47C3-9ACD-9A796DCEC273}"/>
  <tableColumns count="2">
    <tableColumn id="1" xr3:uid="{5E526E9A-0022-4ABB-8CBE-DB07344A5408}" uniqueName="1" name="Particulars" queryTableFieldId="1" dataDxfId="18"/>
    <tableColumn id="2" xr3:uid="{905499AA-0C08-4D11-A0DA-7C98D0031C61}" uniqueName="2" name="Details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CF1CB5-D2BC-4FA6-BD4B-3ABD781BD025}" name="TDSdetailed" displayName="TDSdetailed" ref="A5:K27" tableType="queryTable" totalsRowShown="0">
  <autoFilter ref="A5:K27" xr:uid="{82CF1CB5-D2BC-4FA6-BD4B-3ABD781BD025}"/>
  <tableColumns count="11">
    <tableColumn id="1" xr3:uid="{9F861D47-91B0-4C6E-B0F9-73BDE175B818}" uniqueName="1" name="S No" queryTableFieldId="1"/>
    <tableColumn id="2" xr3:uid="{B0F2063A-1F87-4512-8C22-8EE95BAD32C0}" uniqueName="2" name="Deductor Name" queryTableFieldId="2"/>
    <tableColumn id="3" xr3:uid="{1FDEBCD1-D8E0-4B57-8F2E-CD9D51EFD441}" uniqueName="3" name="Deductor TAN" queryTableFieldId="3"/>
    <tableColumn id="4" xr3:uid="{C51A35AE-EE66-4363-8FA5-477E4011DAF3}" uniqueName="4" name="Section" queryTableFieldId="4" dataDxfId="17"/>
    <tableColumn id="5" xr3:uid="{9CCD23C3-A805-4076-9908-3DA8E6ABE506}" uniqueName="5" name="Transaction Date" queryTableFieldId="5" dataDxfId="16"/>
    <tableColumn id="6" xr3:uid="{22D17342-A7BE-4118-A743-7301C11E45D5}" uniqueName="6" name="Status of Booking" queryTableFieldId="6" dataDxfId="15"/>
    <tableColumn id="7" xr3:uid="{AB371B04-CE08-482E-AD37-CB6BDF78B595}" uniqueName="7" name="Date of Booking" queryTableFieldId="7" dataDxfId="14"/>
    <tableColumn id="8" xr3:uid="{4C230EBD-E339-413A-8B0E-FC5D5A14D87D}" uniqueName="8" name="Remarks" queryTableFieldId="8" dataDxfId="13"/>
    <tableColumn id="9" xr3:uid="{85209CF0-2BD4-4B1E-B56F-E04D82DA62B3}" uniqueName="9" name="Total Amount Paid or credited" queryTableFieldId="9" dataDxfId="12" dataCellStyle="Comma"/>
    <tableColumn id="10" xr3:uid="{A94FE41B-33AC-4FF3-A5A3-94964C6635E0}" uniqueName="10" name="Total Tax Deducted" queryTableFieldId="10" dataDxfId="11" dataCellStyle="Comma"/>
    <tableColumn id="11" xr3:uid="{748EBB97-A2F9-443B-8D9C-45F4A866626C}" uniqueName="11" name="Total TDS Deposited" queryTableFieldId="11" dataDxfId="10" dataCellStyle="Comm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60CE0C-0630-4374-A35B-AA1F51334A28}" name="TDSsummary" displayName="TDSsummary" ref="A5:F8" tableType="queryTable" totalsRowShown="0">
  <autoFilter ref="A5:F8" xr:uid="{1660CE0C-0630-4374-A35B-AA1F51334A28}"/>
  <tableColumns count="6">
    <tableColumn id="1" xr3:uid="{A019190F-BA71-4BD6-AF18-15AEFDE7F108}" uniqueName="1" name="S No" queryTableFieldId="1"/>
    <tableColumn id="2" xr3:uid="{F920761B-7F0D-4C53-8E6E-7CF30B2F79C9}" uniqueName="2" name="Deductor Name" queryTableFieldId="2"/>
    <tableColumn id="3" xr3:uid="{877F25CA-0C2A-43AC-969B-E8B6944E170B}" uniqueName="3" name="Deductor TAN" queryTableFieldId="3"/>
    <tableColumn id="4" xr3:uid="{FC7E0F79-4CA4-42BF-B604-19B87D238A58}" uniqueName="4" name="Amount paid / Credited" queryTableFieldId="4" dataDxfId="7" dataCellStyle="Comma"/>
    <tableColumn id="5" xr3:uid="{9447E25A-38F6-4188-81BA-FA8058044416}" uniqueName="5" name="TDS Deducted" queryTableFieldId="5" dataDxfId="6" dataCellStyle="Comma"/>
    <tableColumn id="6" xr3:uid="{E2891F94-16AF-41EF-B3DE-F5C2E64DDA28}" uniqueName="6" name="TDS Deposited" queryTableFieldId="6" dataDxfId="5" dataCellStyle="Comm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FB055-A696-4E8F-92CA-FA25DF56990F}" name="_15G_15Hdetailed" displayName="_15G_15Hdetailed" ref="A5:J6" tableType="queryTable" totalsRowShown="0">
  <autoFilter ref="A5:J6" xr:uid="{864FB055-A696-4E8F-92CA-FA25DF56990F}"/>
  <tableColumns count="10">
    <tableColumn id="1" xr3:uid="{0F781762-0224-4842-AF24-2C3F9DC93308}" uniqueName="1" name="S No" queryTableFieldId="1"/>
    <tableColumn id="2" xr3:uid="{CA7C43DD-3EF8-4B25-8D33-30F4582AAD53}" uniqueName="2" name="Deductor Name" queryTableFieldId="2"/>
    <tableColumn id="3" xr3:uid="{5E5D38C0-403C-4BE8-92A1-6F064021EC82}" uniqueName="3" name="Deductor TAN" queryTableFieldId="3"/>
    <tableColumn id="4" xr3:uid="{9FDD0DAF-BD37-41CF-85E9-C053A93A8FBE}" uniqueName="4" name="Section" queryTableFieldId="4" dataDxfId="76"/>
    <tableColumn id="5" xr3:uid="{58583087-34D4-4E4B-9A27-A3D31EA3EB8F}" uniqueName="5" name="Transaction Date" queryTableFieldId="5" dataDxfId="9"/>
    <tableColumn id="6" xr3:uid="{20857A57-C7A9-4231-82FB-5FBB93EE1EDA}" uniqueName="6" name="Booking Date" queryTableFieldId="6" dataDxfId="8"/>
    <tableColumn id="7" xr3:uid="{1AF96129-330D-41EF-B9F0-99F02731862C}" uniqueName="7" name="Booking Status" queryTableFieldId="7" dataDxfId="75"/>
    <tableColumn id="8" xr3:uid="{FA260867-E43F-4E34-9B21-75560FE27196}" uniqueName="8" name="Total Amount Paid or credited" queryTableFieldId="8"/>
    <tableColumn id="9" xr3:uid="{6BC10A22-7AF4-4D7B-A9EF-9A3018A3015E}" uniqueName="9" name="Total Tax Deducted" queryTableFieldId="9"/>
    <tableColumn id="10" xr3:uid="{A97B8B13-F853-4187-AF55-7E66F64C51DE}" uniqueName="10" name="Total TDS Deposite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5EA4F9C-8C45-46E1-89B0-F9ACF1118C2D}" name="_15G_15Hsummary" displayName="_15G_15Hsummary" ref="A5:F6" tableType="queryTable" totalsRowShown="0">
  <autoFilter ref="A5:F6" xr:uid="{15EA4F9C-8C45-46E1-89B0-F9ACF1118C2D}"/>
  <tableColumns count="6">
    <tableColumn id="1" xr3:uid="{26B29B92-D244-49A0-8F0E-0BD8D69297B9}" uniqueName="1" name="S No" queryTableFieldId="1"/>
    <tableColumn id="2" xr3:uid="{1C7215D8-12B1-4C0C-A7BB-CA76778EE3FF}" uniqueName="2" name="Deductor TAN" queryTableFieldId="2"/>
    <tableColumn id="3" xr3:uid="{36145F90-B4F9-4147-8AD6-8A85B2BDD68A}" uniqueName="3" name="Deductor Name" queryTableFieldId="3"/>
    <tableColumn id="4" xr3:uid="{6FF7EF36-6EBF-452C-9988-7BE7ED604543}" uniqueName="4" name="Total Amount Paid or Credited" queryTableFieldId="4"/>
    <tableColumn id="5" xr3:uid="{44EAC8EF-258A-463D-AFB6-BA063982F19B}" uniqueName="5" name="Total Tax Deducted" queryTableFieldId="5"/>
    <tableColumn id="6" xr3:uid="{1D9EEDD3-0B5C-4428-84ED-75C6F257A33A}" uniqueName="6" name="Total Tax Deposited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8D6FFD-A0CC-49AE-8B84-3866272F2D3B}" name="Sec194B194R_1" displayName="Sec194B194R_1" ref="A5:J6" tableType="queryTable" totalsRowShown="0">
  <autoFilter ref="A5:J6" xr:uid="{CB8D6FFD-A0CC-49AE-8B84-3866272F2D3B}"/>
  <tableColumns count="10">
    <tableColumn id="1" xr3:uid="{905980E5-D8FB-478D-A986-C494E470E9C8}" uniqueName="1" name="S No" queryTableFieldId="1" dataDxfId="74"/>
    <tableColumn id="2" xr3:uid="{D0AE1608-A1F3-48F5-AEBE-08B096A7BED6}" uniqueName="2" name="Name of Deductor" queryTableFieldId="2" dataDxfId="73"/>
    <tableColumn id="3" xr3:uid="{B00D81B7-02C4-4935-A2AE-BC53E443146E}" uniqueName="3" name="TAN of Deductor" queryTableFieldId="3" dataDxfId="72"/>
    <tableColumn id="4" xr3:uid="{47656B5B-5940-44C2-BF98-EE02557DE1C0}" uniqueName="4" name="Transaction Date" queryTableFieldId="4" dataDxfId="71"/>
    <tableColumn id="5" xr3:uid="{7E37A91D-C4A5-4766-AF44-F5D97996B709}" uniqueName="5" name="Status of Booking" queryTableFieldId="5" dataDxfId="70"/>
    <tableColumn id="6" xr3:uid="{91FFC6DB-4553-4EF4-9BCC-1E53E14F449F}" uniqueName="6" name="Date of Booking" queryTableFieldId="6" dataDxfId="69"/>
    <tableColumn id="7" xr3:uid="{7DBB27E0-3959-400F-90D4-86F97497AB0E}" uniqueName="7" name="Remarks" queryTableFieldId="7" dataDxfId="68"/>
    <tableColumn id="8" xr3:uid="{F43663BC-DB78-489C-81BC-4D65B1B1D13C}" uniqueName="8" name="Total Amount Paid or credited" queryTableFieldId="8" dataDxfId="67"/>
    <tableColumn id="9" xr3:uid="{0C7BAB08-8C3E-4341-8A96-41B3A1C02E71}" uniqueName="9" name="Total Tax Deducted" queryTableFieldId="9" dataDxfId="66"/>
    <tableColumn id="10" xr3:uid="{8FC116EC-A7D3-4E8A-B067-D54A0CDD5F38}" uniqueName="10" name="Total TDS Deposited" queryTableFieldId="10" dataDxfId="6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400884-B1A5-4A26-8A55-4C019F368617}" name="_194IA" displayName="_194IA" ref="A5:G6" tableType="queryTable" totalsRowShown="0">
  <autoFilter ref="A5:G6" xr:uid="{51400884-B1A5-4A26-8A55-4C019F368617}"/>
  <tableColumns count="7">
    <tableColumn id="11" xr3:uid="{6D3BF6FC-0106-4A75-8D27-FF0C7463053C}" uniqueName="11" name="Sr. No." queryTableFieldId="11" dataDxfId="64"/>
    <tableColumn id="12" xr3:uid="{1F053482-6350-419A-9526-65BFC6E2A248}" uniqueName="12" name="Acknowledgement Number" queryTableFieldId="12" dataDxfId="63"/>
    <tableColumn id="2" xr3:uid="{0200864B-B21C-4FEA-A3C5-7963AAE3EF44}" uniqueName="2" name="Name of Deductor" queryTableFieldId="2" dataDxfId="62"/>
    <tableColumn id="13" xr3:uid="{D2B0D5D2-450E-4A5C-9260-68B207371C3F}" uniqueName="13" name="PAN of Deductor" queryTableFieldId="13" dataDxfId="61"/>
    <tableColumn id="4" xr3:uid="{F5E77227-0F62-44D8-960E-B6E3E6328DE7}" uniqueName="4" name="Transaction Date" queryTableFieldId="4" dataDxfId="60"/>
    <tableColumn id="14" xr3:uid="{D0A3C41B-EAAC-440C-A735-586A502E0C00}" uniqueName="14" name="Total Transaction Amount(Rs.)" queryTableFieldId="14" dataDxfId="59"/>
    <tableColumn id="15" xr3:uid="{6CED97D2-31EF-4AF7-A087-2E0895AF0249}" uniqueName="15" name="Total TDS Deposited(Rs.)" queryTableFieldId="15" dataDxfId="5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044D03-3C27-4D9F-8548-76D88ADEFD5B}" name="_194S_1" displayName="_194S_1" ref="A5:F6" tableType="queryTable" totalsRowShown="0">
  <autoFilter ref="A5:F6" xr:uid="{8B044D03-3C27-4D9F-8548-76D88ADEFD5B}"/>
  <tableColumns count="6">
    <tableColumn id="11" xr3:uid="{3C4B28D5-179E-4B99-A4CE-24B29D921C1D}" uniqueName="11" name="Sr. No." queryTableFieldId="11" dataDxfId="57"/>
    <tableColumn id="12" xr3:uid="{2D8040D8-F030-49CF-91E4-D5CE955016EE}" uniqueName="12" name="Acknowledgement Number" queryTableFieldId="12" dataDxfId="56"/>
    <tableColumn id="13" xr3:uid="{3F38E21A-C413-44EA-972F-F1011731E6A6}" uniqueName="13" name="Name of Buyer" queryTableFieldId="13" dataDxfId="55"/>
    <tableColumn id="14" xr3:uid="{98B0EBEA-2DD8-4E09-94D4-3C95C5221514}" uniqueName="14" name="PAN of Buyer" queryTableFieldId="14" dataDxfId="54"/>
    <tableColumn id="4" xr3:uid="{02E287EE-71C1-490F-A3FA-500F98E1122B}" uniqueName="4" name="Transaction Date" queryTableFieldId="4" dataDxfId="53"/>
    <tableColumn id="15" xr3:uid="{1F9036D7-CB78-4939-9DCE-02012B649C87}" uniqueName="15" name="Total Transaction Amount(Rs.)" queryTableFieldId="15" dataDxfId="5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747050D-4AD7-439C-946C-0CF130BD1BAD}" name="TCSdetailed" displayName="TCSdetailed" ref="A5:K22" tableType="queryTable" totalsRowShown="0">
  <autoFilter ref="A5:K22" xr:uid="{9747050D-4AD7-439C-946C-0CF130BD1BAD}"/>
  <tableColumns count="11">
    <tableColumn id="1" xr3:uid="{84E80FD4-F19D-489A-A8C6-C2E4388E68AD}" uniqueName="1" name="S No" queryTableFieldId="1"/>
    <tableColumn id="2" xr3:uid="{D4E3F652-63F4-445E-AE1D-2EA9E2E4B083}" uniqueName="2" name="Collector Name" queryTableFieldId="2"/>
    <tableColumn id="3" xr3:uid="{1DBFB703-7D39-4479-A367-A2C1C048828F}" uniqueName="3" name="Collector TAN" queryTableFieldId="3"/>
    <tableColumn id="4" xr3:uid="{A29CEF19-93D0-4F93-83D3-4AB10D81A0B4}" uniqueName="4" name="Section" queryTableFieldId="4" dataDxfId="4"/>
    <tableColumn id="5" xr3:uid="{137B5C18-A512-40A8-AF19-013D9280C869}" uniqueName="5" name="Transaction Date" queryTableFieldId="5" dataDxfId="3"/>
    <tableColumn id="6" xr3:uid="{FAA28E7D-3570-4CF7-A4F0-74C4BBC0F8EB}" uniqueName="6" name="Status of Booking" queryTableFieldId="6" dataDxfId="2"/>
    <tableColumn id="7" xr3:uid="{2921A951-90C5-4D35-A758-70E2BADF09AF}" uniqueName="7" name="Date of Booking" queryTableFieldId="7" dataDxfId="1"/>
    <tableColumn id="8" xr3:uid="{F2AF88E4-AF83-46AF-84D8-BCD1A4AC9104}" uniqueName="8" name="Remarks" queryTableFieldId="8" dataDxfId="0"/>
    <tableColumn id="9" xr3:uid="{83F03A53-6A98-4106-9465-FD8478944BF8}" uniqueName="9" name="Total Amount Paid or Debited" queryTableFieldId="9"/>
    <tableColumn id="10" xr3:uid="{AC24A20B-54A9-4E8F-9BF0-E4F4DD13D958}" uniqueName="10" name="Total Tax Collected" queryTableFieldId="10"/>
    <tableColumn id="11" xr3:uid="{2A494971-0A7C-45C6-B350-2C66E87318E7}" uniqueName="11" name="Total TCS Deposited" queryTableFieldId="1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177FB16-7042-4DDD-8DD3-3F1868C985B1}" name="TCSsummary" displayName="TCSsummary" ref="A5:F6" tableType="queryTable" totalsRowShown="0">
  <autoFilter ref="A5:F6" xr:uid="{8177FB16-7042-4DDD-8DD3-3F1868C985B1}"/>
  <tableColumns count="6">
    <tableColumn id="1" xr3:uid="{9ACB06E0-DBD8-476B-A1FF-509D76D87177}" uniqueName="1" name="S No" queryTableFieldId="1"/>
    <tableColumn id="2" xr3:uid="{5CF62C47-8BBE-494F-905F-678DEAC339B3}" uniqueName="2" name="Collector TAN" queryTableFieldId="2"/>
    <tableColumn id="3" xr3:uid="{2EBADCCF-5022-41C8-B1A9-932715A8C2EB}" uniqueName="3" name="Collector Name" queryTableFieldId="3"/>
    <tableColumn id="4" xr3:uid="{FCFC66D2-0E87-40C0-B889-E21AC92D74A8}" uniqueName="4" name="Amount paid / Debited" queryTableFieldId="4"/>
    <tableColumn id="5" xr3:uid="{341DB15D-A08A-42CF-9B93-9A4E27595B6A}" uniqueName="5" name="TCS Collected" queryTableFieldId="5"/>
    <tableColumn id="6" xr3:uid="{550C7D0A-4731-4038-964A-DDA76B69D67E}" uniqueName="6" name="TCS Deposited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523E0D-E861-45C0-97D2-535B1D49C397}" name="Paid_Refund" displayName="Paid_Refund" ref="A5:I6" tableType="queryTable" totalsRowShown="0">
  <autoFilter ref="A5:I6" xr:uid="{82523E0D-E861-45C0-97D2-535B1D49C397}"/>
  <tableColumns count="9">
    <tableColumn id="11" xr3:uid="{8F946ADC-0E5C-4C8D-8280-DEF9FDB34807}" uniqueName="11" name="Sr. No." queryTableFieldId="11" dataDxfId="51"/>
    <tableColumn id="12" xr3:uid="{8CDA66AA-2293-40CC-B72B-BDD2DEECECD4}" uniqueName="12" name="Assessment Year" queryTableFieldId="12" dataDxfId="50"/>
    <tableColumn id="13" xr3:uid="{0EBF5D8C-D4B6-4390-9AE0-5A4BE25C3C6D}" uniqueName="13" name="Mode" queryTableFieldId="13" dataDxfId="49"/>
    <tableColumn id="14" xr3:uid="{4F36EEE2-F02E-4893-8F28-5B799E48E1FB}" uniqueName="14" name="Refund Issued" queryTableFieldId="14" dataDxfId="48"/>
    <tableColumn id="15" xr3:uid="{316121A3-200D-488E-A8C9-A01489559728}" uniqueName="15" name="Nature of Refund" queryTableFieldId="15" dataDxfId="47"/>
    <tableColumn id="16" xr3:uid="{7C7ACA6F-7290-4053-9DC8-302E0A58EE16}" uniqueName="16" name="Amount of Refund(Rs.)" queryTableFieldId="16" dataDxfId="46"/>
    <tableColumn id="17" xr3:uid="{D56F840A-A44B-4FCF-A13B-B1926C184649}" uniqueName="17" name="Interest(Rs.)" queryTableFieldId="17" dataDxfId="45"/>
    <tableColumn id="18" xr3:uid="{252376DB-E618-482A-A8D9-4B7250D3FEAE}" uniqueName="18" name="Date of Payment" queryTableFieldId="18" dataDxfId="44"/>
    <tableColumn id="7" xr3:uid="{3A04221F-CFB1-480A-AA37-CE73432ECEBD}" uniqueName="7" name="Remarks" queryTableFieldId="7" dataDxfId="4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AB9EE12-2F54-4523-8F92-E8D7108D994A}" name="TDS194IA" displayName="TDS194IA" ref="A5:H6" tableType="queryTable" totalsRowShown="0">
  <autoFilter ref="A5:H6" xr:uid="{4AB9EE12-2F54-4523-8F92-E8D7108D994A}"/>
  <tableColumns count="8">
    <tableColumn id="11" xr3:uid="{8AE7A367-4952-484E-9996-9782A09A0560}" uniqueName="11" name="Sr. No." queryTableFieldId="11" dataDxfId="42"/>
    <tableColumn id="12" xr3:uid="{1F610C46-2D1C-46A7-99FC-F9661608B4D9}" uniqueName="12" name="Acknowledgement Number" queryTableFieldId="12" dataDxfId="41"/>
    <tableColumn id="13" xr3:uid="{69165AAF-70BE-49EE-BF25-2C75DFB518ED}" uniqueName="13" name="Name of Deductee" queryTableFieldId="13" dataDxfId="40"/>
    <tableColumn id="14" xr3:uid="{91AFE80D-4091-4C74-8875-BC876204EF5D}" uniqueName="14" name="PAN of Deductee" queryTableFieldId="14" dataDxfId="39"/>
    <tableColumn id="4" xr3:uid="{8A9F5BF3-E626-4B2A-B2E7-35E4FD199060}" uniqueName="4" name="Transaction Date" queryTableFieldId="4" dataDxfId="38"/>
    <tableColumn id="15" xr3:uid="{22F3B469-CF17-4C5F-83CF-0E2803E40521}" uniqueName="15" name="Total Transaction Amount(Rs.)" queryTableFieldId="15" dataDxfId="37"/>
    <tableColumn id="16" xr3:uid="{240A0FEB-9E4C-48AA-BB53-41C51016EE08}" uniqueName="16" name="Total TDS Deposited(Rs.)" queryTableFieldId="16" dataDxfId="36"/>
    <tableColumn id="17" xr3:uid="{D3340175-19CB-4A00-B47C-CF8483B5B3A9}" uniqueName="17" name="Total Amount Deposited other than TDS(Rs.)" queryTableFieldId="17" dataDxfId="3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8E044D0-586F-41BA-9B71-DE82382ABBE0}" name="DemandPayments" displayName="DemandPayments" ref="A5:G6" tableType="queryTable" totalsRowShown="0">
  <autoFilter ref="A5:G6" xr:uid="{D8E044D0-586F-41BA-9B71-DE82382ABBE0}"/>
  <tableColumns count="7">
    <tableColumn id="11" xr3:uid="{5DE848ED-E108-4D95-932B-035CA5EC1972}" uniqueName="11" name="Sr. No." queryTableFieldId="11" dataDxfId="34"/>
    <tableColumn id="12" xr3:uid="{B39D19C6-9B2E-486E-85E2-60B445135ED5}" uniqueName="12" name="Acknowledgement Number" queryTableFieldId="12" dataDxfId="33"/>
    <tableColumn id="13" xr3:uid="{62200265-05CD-4ED3-B643-7CB5F7BB8657}" uniqueName="13" name="Name of Seller" queryTableFieldId="13" dataDxfId="32"/>
    <tableColumn id="14" xr3:uid="{C27F18B4-F52B-4D6B-92E1-52373190F091}" uniqueName="14" name="PAN of Seller" queryTableFieldId="14" dataDxfId="31"/>
    <tableColumn id="4" xr3:uid="{F68DA23F-6CA7-45F9-920B-04BEF5EBDF3F}" uniqueName="4" name="Transaction Date" queryTableFieldId="4" dataDxfId="30"/>
    <tableColumn id="15" xr3:uid="{E0FCE6DF-334D-4B0A-99B5-16498F6B5BE5}" uniqueName="15" name="Total Transaction Amount(Rs.)" queryTableFieldId="15" dataDxfId="29"/>
    <tableColumn id="16" xr3:uid="{FAFBBBF4-17D2-4EC2-AE32-A49E022366CD}" uniqueName="16" name="Total Amount Deposited other than TDS(Rs.)" queryTableFieldId="16" dataDxfId="2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19F4E9-8404-4E4E-95C9-E996B2703089}" name="TDS_TCS_Defaults" displayName="TDS_TCS_Defaults" ref="A5:I6" tableType="queryTable" totalsRowShown="0">
  <autoFilter ref="A5:I6" xr:uid="{A719F4E9-8404-4E4E-95C9-E996B2703089}"/>
  <tableColumns count="9">
    <tableColumn id="11" xr3:uid="{71BB49DA-4362-4B20-B691-D34F80CA83CC}" uniqueName="11" name="Sr. No." queryTableFieldId="11" dataDxfId="27"/>
    <tableColumn id="12" xr3:uid="{9E6E999D-7729-4F85-B5D9-997711585A55}" uniqueName="12" name="Financial Year" queryTableFieldId="12" dataDxfId="26"/>
    <tableColumn id="13" xr3:uid="{B200CEAD-ADC8-4078-AD67-76BD39547F6D}" uniqueName="13" name="Short Payment" queryTableFieldId="13" dataDxfId="25"/>
    <tableColumn id="14" xr3:uid="{FDD5270B-5284-4216-BC78-6A7EEE55E961}" uniqueName="14" name="Short Deduction/Collection" queryTableFieldId="14" dataDxfId="24"/>
    <tableColumn id="15" xr3:uid="{C2B7AA06-78F6-4014-A43D-E359FA7A2F55}" uniqueName="15" name="Interest on TDS/TCS Payments default" queryTableFieldId="15" dataDxfId="23"/>
    <tableColumn id="16" xr3:uid="{12CF9D9E-20B4-43F1-8A25-F5EEAF0CA541}" uniqueName="16" name="Interest on TDS/TCS Deduction/Collection Default" queryTableFieldId="16" dataDxfId="22"/>
    <tableColumn id="17" xr3:uid="{BD242507-2EA0-4300-A8C5-CF8E6E49AED4}" uniqueName="17" name="Late Filing Fee u/s 234E" queryTableFieldId="17" dataDxfId="21"/>
    <tableColumn id="18" xr3:uid="{D2650E90-AFA8-4FF1-961E-289E49F53A3B}" uniqueName="18" name="Interest u/s 220(2)" queryTableFieldId="18" dataDxfId="20"/>
    <tableColumn id="19" xr3:uid="{F533E118-6ABD-49DC-BED1-F8A69D773DE2}" uniqueName="19" name="Total Default" queryTableFieldId="19" dataDxf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120-0E8C-41DC-BE22-8D585B0DCE3E}">
  <sheetPr codeName="Sheet1"/>
  <dimension ref="A1"/>
  <sheetViews>
    <sheetView workbookViewId="0">
      <selection activeCell="I13" sqref="I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SourceFile_Final">
                <anchor moveWithCells="1" sizeWithCells="1">
                  <from>
                    <xdr:col>1</xdr:col>
                    <xdr:colOff>15240</xdr:colOff>
                    <xdr:row>3</xdr:row>
                    <xdr:rowOff>15240</xdr:rowOff>
                  </from>
                  <to>
                    <xdr:col>2</xdr:col>
                    <xdr:colOff>594360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DC329-B8BC-4975-860F-CC6BF9D36552}">
  <sheetPr codeName="Sheet15"/>
  <dimension ref="A1:B17"/>
  <sheetViews>
    <sheetView workbookViewId="0"/>
  </sheetViews>
  <sheetFormatPr defaultRowHeight="14.4" x14ac:dyDescent="0.3"/>
  <cols>
    <col min="1" max="1" width="31.109375" bestFit="1" customWidth="1"/>
    <col min="2" max="2" width="23.88671875" bestFit="1" customWidth="1"/>
  </cols>
  <sheetData>
    <row r="1" spans="1:2" x14ac:dyDescent="0.3">
      <c r="A1" s="2" t="str">
        <f>PROPER(B10)</f>
        <v>Niranjan Swaminathan</v>
      </c>
    </row>
    <row r="2" spans="1:2" x14ac:dyDescent="0.3">
      <c r="A2" s="2" t="str">
        <f>B6</f>
        <v>AIWPN1923H</v>
      </c>
    </row>
    <row r="3" spans="1:2" x14ac:dyDescent="0.3">
      <c r="A3" s="2" t="s">
        <v>0</v>
      </c>
    </row>
    <row r="5" spans="1:2" x14ac:dyDescent="0.3">
      <c r="A5" t="s">
        <v>1</v>
      </c>
      <c r="B5" t="s">
        <v>2</v>
      </c>
    </row>
    <row r="6" spans="1:2" x14ac:dyDescent="0.3">
      <c r="A6" s="2" t="s">
        <v>3</v>
      </c>
      <c r="B6" t="s">
        <v>97</v>
      </c>
    </row>
    <row r="7" spans="1:2" x14ac:dyDescent="0.3">
      <c r="A7" s="2" t="s">
        <v>4</v>
      </c>
      <c r="B7" t="s">
        <v>82</v>
      </c>
    </row>
    <row r="8" spans="1:2" x14ac:dyDescent="0.3">
      <c r="A8" s="2" t="s">
        <v>5</v>
      </c>
      <c r="B8" t="s">
        <v>83</v>
      </c>
    </row>
    <row r="9" spans="1:2" x14ac:dyDescent="0.3">
      <c r="A9" s="2" t="s">
        <v>6</v>
      </c>
      <c r="B9" t="s">
        <v>84</v>
      </c>
    </row>
    <row r="10" spans="1:2" x14ac:dyDescent="0.3">
      <c r="A10" s="2" t="s">
        <v>7</v>
      </c>
      <c r="B10" t="s">
        <v>98</v>
      </c>
    </row>
    <row r="11" spans="1:2" x14ac:dyDescent="0.3">
      <c r="A11" s="2" t="s">
        <v>8</v>
      </c>
      <c r="B11" t="s">
        <v>99</v>
      </c>
    </row>
    <row r="12" spans="1:2" x14ac:dyDescent="0.3">
      <c r="A12" s="2" t="s">
        <v>9</v>
      </c>
      <c r="B12" t="s">
        <v>100</v>
      </c>
    </row>
    <row r="13" spans="1:2" x14ac:dyDescent="0.3">
      <c r="A13" s="2" t="s">
        <v>10</v>
      </c>
      <c r="B13" t="s">
        <v>101</v>
      </c>
    </row>
    <row r="14" spans="1:2" x14ac:dyDescent="0.3">
      <c r="A14" s="2" t="s">
        <v>11</v>
      </c>
      <c r="B14" t="s">
        <v>95</v>
      </c>
    </row>
    <row r="15" spans="1:2" x14ac:dyDescent="0.3">
      <c r="A15" s="2" t="s">
        <v>12</v>
      </c>
      <c r="B15" t="s">
        <v>102</v>
      </c>
    </row>
    <row r="16" spans="1:2" x14ac:dyDescent="0.3">
      <c r="A16" s="2" t="s">
        <v>13</v>
      </c>
      <c r="B16" t="s">
        <v>85</v>
      </c>
    </row>
    <row r="17" spans="1:2" x14ac:dyDescent="0.3">
      <c r="A17" s="2" t="s">
        <v>14</v>
      </c>
      <c r="B17" t="s">
        <v>96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B2D08-1973-4F43-8989-86492C809FB3}">
  <sheetPr codeName="Sheet14"/>
  <dimension ref="A1:K27"/>
  <sheetViews>
    <sheetView workbookViewId="0">
      <selection activeCell="B3" sqref="B3"/>
    </sheetView>
  </sheetViews>
  <sheetFormatPr defaultRowHeight="14.4" x14ac:dyDescent="0.3"/>
  <cols>
    <col min="1" max="1" width="7.109375" bestFit="1" customWidth="1"/>
    <col min="2" max="2" width="26" bestFit="1" customWidth="1"/>
    <col min="3" max="3" width="15" bestFit="1" customWidth="1"/>
    <col min="4" max="4" width="9.44140625" bestFit="1" customWidth="1"/>
    <col min="5" max="5" width="17.44140625" bestFit="1" customWidth="1"/>
    <col min="6" max="6" width="18.109375" bestFit="1" customWidth="1"/>
    <col min="7" max="7" width="16.77734375" bestFit="1" customWidth="1"/>
    <col min="8" max="8" width="10.44140625" bestFit="1" customWidth="1"/>
    <col min="9" max="9" width="29.77734375" style="3" bestFit="1" customWidth="1"/>
    <col min="10" max="10" width="20.44140625" style="3" bestFit="1" customWidth="1"/>
    <col min="11" max="11" width="21.109375" style="3" bestFit="1" customWidth="1"/>
  </cols>
  <sheetData>
    <row r="1" spans="1:11" x14ac:dyDescent="0.3">
      <c r="A1" s="2" t="str">
        <f>Deductee!A1</f>
        <v>Niranjan Swaminathan</v>
      </c>
    </row>
    <row r="2" spans="1:11" x14ac:dyDescent="0.3">
      <c r="A2" s="2" t="str">
        <f>Deductee!A2</f>
        <v>AIWPN1923H</v>
      </c>
    </row>
    <row r="3" spans="1:11" x14ac:dyDescent="0.3">
      <c r="A3" s="2" t="s">
        <v>15</v>
      </c>
    </row>
    <row r="5" spans="1:11" x14ac:dyDescent="0.3">
      <c r="A5" t="s">
        <v>16</v>
      </c>
      <c r="B5" t="s">
        <v>17</v>
      </c>
      <c r="C5" t="s">
        <v>18</v>
      </c>
      <c r="D5" t="s">
        <v>19</v>
      </c>
      <c r="E5" t="s">
        <v>20</v>
      </c>
      <c r="F5" t="s">
        <v>21</v>
      </c>
      <c r="G5" t="s">
        <v>22</v>
      </c>
      <c r="H5" t="s">
        <v>23</v>
      </c>
      <c r="I5" s="3" t="s">
        <v>24</v>
      </c>
      <c r="J5" s="3" t="s">
        <v>25</v>
      </c>
      <c r="K5" s="3" t="s">
        <v>26</v>
      </c>
    </row>
    <row r="6" spans="1:11" x14ac:dyDescent="0.3">
      <c r="A6">
        <v>1</v>
      </c>
      <c r="B6" t="s">
        <v>103</v>
      </c>
      <c r="C6" t="s">
        <v>104</v>
      </c>
      <c r="D6" s="4" t="s">
        <v>105</v>
      </c>
      <c r="E6" s="1">
        <v>45429</v>
      </c>
      <c r="F6" s="4" t="s">
        <v>87</v>
      </c>
      <c r="G6" s="1">
        <v>45514</v>
      </c>
      <c r="H6" s="4" t="s">
        <v>88</v>
      </c>
      <c r="I6" s="3">
        <v>2900</v>
      </c>
      <c r="J6" s="3">
        <v>870</v>
      </c>
      <c r="K6" s="3">
        <v>870</v>
      </c>
    </row>
    <row r="7" spans="1:11" x14ac:dyDescent="0.3">
      <c r="A7">
        <v>2</v>
      </c>
      <c r="B7" t="s">
        <v>103</v>
      </c>
      <c r="C7" t="s">
        <v>104</v>
      </c>
      <c r="D7" s="4" t="s">
        <v>106</v>
      </c>
      <c r="E7" s="1">
        <v>45429</v>
      </c>
      <c r="F7" s="4" t="s">
        <v>87</v>
      </c>
      <c r="G7" s="1">
        <v>45514</v>
      </c>
      <c r="H7" s="4" t="s">
        <v>88</v>
      </c>
      <c r="I7" s="3">
        <v>29000</v>
      </c>
      <c r="J7" s="3">
        <v>8700</v>
      </c>
      <c r="K7" s="3">
        <v>8700</v>
      </c>
    </row>
    <row r="8" spans="1:11" x14ac:dyDescent="0.3">
      <c r="A8">
        <v>3</v>
      </c>
      <c r="B8" t="s">
        <v>103</v>
      </c>
      <c r="C8" t="s">
        <v>104</v>
      </c>
      <c r="D8" s="4" t="s">
        <v>105</v>
      </c>
      <c r="E8" s="1">
        <v>45429</v>
      </c>
      <c r="F8" s="4" t="s">
        <v>87</v>
      </c>
      <c r="G8" s="1">
        <v>45514</v>
      </c>
      <c r="H8" s="4" t="s">
        <v>107</v>
      </c>
      <c r="I8" s="3">
        <v>-29000</v>
      </c>
      <c r="J8" s="3">
        <v>-8700</v>
      </c>
      <c r="K8" s="3">
        <v>-8700</v>
      </c>
    </row>
    <row r="9" spans="1:11" x14ac:dyDescent="0.3">
      <c r="A9">
        <v>4</v>
      </c>
      <c r="B9" t="s">
        <v>103</v>
      </c>
      <c r="C9" t="s">
        <v>104</v>
      </c>
      <c r="D9" s="4" t="s">
        <v>106</v>
      </c>
      <c r="E9" s="1">
        <v>45429</v>
      </c>
      <c r="F9" s="4" t="s">
        <v>87</v>
      </c>
      <c r="G9" s="1">
        <v>45514</v>
      </c>
      <c r="H9" s="4" t="s">
        <v>88</v>
      </c>
      <c r="I9" s="3">
        <v>2900</v>
      </c>
      <c r="J9" s="3">
        <v>870</v>
      </c>
      <c r="K9" s="3">
        <v>870</v>
      </c>
    </row>
    <row r="10" spans="1:11" x14ac:dyDescent="0.3">
      <c r="A10">
        <v>5</v>
      </c>
      <c r="B10" t="s">
        <v>103</v>
      </c>
      <c r="C10" t="s">
        <v>104</v>
      </c>
      <c r="D10" s="4" t="s">
        <v>105</v>
      </c>
      <c r="E10" s="1">
        <v>45429</v>
      </c>
      <c r="F10" s="4" t="s">
        <v>87</v>
      </c>
      <c r="G10" s="1">
        <v>45514</v>
      </c>
      <c r="H10" s="4" t="s">
        <v>107</v>
      </c>
      <c r="I10" s="3">
        <v>-2900</v>
      </c>
      <c r="J10" s="3">
        <v>-870</v>
      </c>
      <c r="K10" s="3">
        <v>-870</v>
      </c>
    </row>
    <row r="11" spans="1:11" x14ac:dyDescent="0.3">
      <c r="A11">
        <v>6</v>
      </c>
      <c r="B11" t="s">
        <v>103</v>
      </c>
      <c r="C11" t="s">
        <v>104</v>
      </c>
      <c r="D11" s="4" t="s">
        <v>105</v>
      </c>
      <c r="E11" s="1">
        <v>45429</v>
      </c>
      <c r="F11" s="4" t="s">
        <v>87</v>
      </c>
      <c r="G11" s="1">
        <v>45514</v>
      </c>
      <c r="H11" s="4" t="s">
        <v>88</v>
      </c>
      <c r="I11" s="3">
        <v>29000</v>
      </c>
      <c r="J11" s="3">
        <v>8700</v>
      </c>
      <c r="K11" s="3">
        <v>8700</v>
      </c>
    </row>
    <row r="12" spans="1:11" x14ac:dyDescent="0.3">
      <c r="A12">
        <v>7</v>
      </c>
      <c r="B12" t="s">
        <v>91</v>
      </c>
      <c r="C12" t="s">
        <v>92</v>
      </c>
      <c r="D12" s="4" t="s">
        <v>89</v>
      </c>
      <c r="E12" s="1">
        <v>45747</v>
      </c>
      <c r="F12" s="4" t="s">
        <v>87</v>
      </c>
      <c r="G12" s="1">
        <v>45810</v>
      </c>
      <c r="H12" s="4" t="s">
        <v>88</v>
      </c>
      <c r="I12" s="3">
        <v>144000</v>
      </c>
      <c r="J12" s="3">
        <v>5113</v>
      </c>
      <c r="K12" s="3">
        <v>5113</v>
      </c>
    </row>
    <row r="13" spans="1:11" x14ac:dyDescent="0.3">
      <c r="A13">
        <v>8</v>
      </c>
      <c r="B13" t="s">
        <v>91</v>
      </c>
      <c r="C13" t="s">
        <v>92</v>
      </c>
      <c r="D13" s="4" t="s">
        <v>89</v>
      </c>
      <c r="E13" s="1">
        <v>45747</v>
      </c>
      <c r="F13" s="4" t="s">
        <v>87</v>
      </c>
      <c r="G13" s="1">
        <v>45810</v>
      </c>
      <c r="H13" s="4" t="s">
        <v>88</v>
      </c>
      <c r="I13" s="3">
        <v>1000</v>
      </c>
      <c r="J13" s="3">
        <v>2</v>
      </c>
      <c r="K13" s="3">
        <v>2</v>
      </c>
    </row>
    <row r="14" spans="1:11" x14ac:dyDescent="0.3">
      <c r="A14">
        <v>9</v>
      </c>
      <c r="B14" t="s">
        <v>91</v>
      </c>
      <c r="C14" t="s">
        <v>92</v>
      </c>
      <c r="D14" s="4" t="s">
        <v>89</v>
      </c>
      <c r="E14" s="1">
        <v>45716</v>
      </c>
      <c r="F14" s="4" t="s">
        <v>87</v>
      </c>
      <c r="G14" s="1">
        <v>45810</v>
      </c>
      <c r="H14" s="4" t="s">
        <v>88</v>
      </c>
      <c r="I14" s="3">
        <v>145000</v>
      </c>
      <c r="J14" s="3">
        <v>5113</v>
      </c>
      <c r="K14" s="3">
        <v>5113</v>
      </c>
    </row>
    <row r="15" spans="1:11" x14ac:dyDescent="0.3">
      <c r="A15">
        <v>10</v>
      </c>
      <c r="B15" t="s">
        <v>91</v>
      </c>
      <c r="C15" t="s">
        <v>92</v>
      </c>
      <c r="D15" s="4" t="s">
        <v>89</v>
      </c>
      <c r="E15" s="1">
        <v>45688</v>
      </c>
      <c r="F15" s="4" t="s">
        <v>87</v>
      </c>
      <c r="G15" s="1">
        <v>45810</v>
      </c>
      <c r="H15" s="4" t="s">
        <v>88</v>
      </c>
      <c r="I15" s="3">
        <v>145000</v>
      </c>
      <c r="J15" s="3">
        <v>5113</v>
      </c>
      <c r="K15" s="3">
        <v>5113</v>
      </c>
    </row>
    <row r="16" spans="1:11" x14ac:dyDescent="0.3">
      <c r="A16">
        <v>11</v>
      </c>
      <c r="B16" t="s">
        <v>91</v>
      </c>
      <c r="C16" t="s">
        <v>92</v>
      </c>
      <c r="D16" s="4" t="s">
        <v>89</v>
      </c>
      <c r="E16" s="1">
        <v>45657</v>
      </c>
      <c r="F16" s="4" t="s">
        <v>87</v>
      </c>
      <c r="G16" s="1">
        <v>45677</v>
      </c>
      <c r="H16" s="4" t="s">
        <v>88</v>
      </c>
      <c r="I16" s="3">
        <v>145000</v>
      </c>
      <c r="J16" s="3">
        <v>5113</v>
      </c>
      <c r="K16" s="3">
        <v>5113</v>
      </c>
    </row>
    <row r="17" spans="1:11" x14ac:dyDescent="0.3">
      <c r="A17">
        <v>12</v>
      </c>
      <c r="B17" t="s">
        <v>91</v>
      </c>
      <c r="C17" t="s">
        <v>92</v>
      </c>
      <c r="D17" s="4" t="s">
        <v>89</v>
      </c>
      <c r="E17" s="1">
        <v>45626</v>
      </c>
      <c r="F17" s="4" t="s">
        <v>87</v>
      </c>
      <c r="G17" s="1">
        <v>45677</v>
      </c>
      <c r="H17" s="4" t="s">
        <v>88</v>
      </c>
      <c r="I17" s="3">
        <v>145000</v>
      </c>
      <c r="J17" s="3">
        <v>5113</v>
      </c>
      <c r="K17" s="3">
        <v>5113</v>
      </c>
    </row>
    <row r="18" spans="1:11" x14ac:dyDescent="0.3">
      <c r="A18">
        <v>13</v>
      </c>
      <c r="B18" t="s">
        <v>91</v>
      </c>
      <c r="C18" t="s">
        <v>92</v>
      </c>
      <c r="D18" s="4" t="s">
        <v>89</v>
      </c>
      <c r="E18" s="1">
        <v>45596</v>
      </c>
      <c r="F18" s="4" t="s">
        <v>87</v>
      </c>
      <c r="G18" s="1">
        <v>45677</v>
      </c>
      <c r="H18" s="4" t="s">
        <v>88</v>
      </c>
      <c r="I18" s="3">
        <v>145000</v>
      </c>
      <c r="J18" s="3">
        <v>5113</v>
      </c>
      <c r="K18" s="3">
        <v>5113</v>
      </c>
    </row>
    <row r="19" spans="1:11" x14ac:dyDescent="0.3">
      <c r="A19">
        <v>14</v>
      </c>
      <c r="B19" t="s">
        <v>108</v>
      </c>
      <c r="C19" t="s">
        <v>109</v>
      </c>
      <c r="D19" s="4" t="s">
        <v>86</v>
      </c>
      <c r="E19" s="1">
        <v>45624</v>
      </c>
      <c r="F19" s="4" t="s">
        <v>87</v>
      </c>
      <c r="G19" s="1">
        <v>45699</v>
      </c>
      <c r="H19" s="4" t="s">
        <v>88</v>
      </c>
      <c r="I19" s="3">
        <v>53082</v>
      </c>
      <c r="J19" s="3">
        <v>5308</v>
      </c>
      <c r="K19" s="3">
        <v>5308</v>
      </c>
    </row>
    <row r="20" spans="1:11" x14ac:dyDescent="0.3">
      <c r="A20">
        <v>15</v>
      </c>
      <c r="B20" t="s">
        <v>108</v>
      </c>
      <c r="C20" t="s">
        <v>109</v>
      </c>
      <c r="D20" s="4" t="s">
        <v>86</v>
      </c>
      <c r="E20" s="1">
        <v>45604</v>
      </c>
      <c r="F20" s="4" t="s">
        <v>87</v>
      </c>
      <c r="G20" s="1">
        <v>45699</v>
      </c>
      <c r="H20" s="4" t="s">
        <v>88</v>
      </c>
      <c r="I20" s="3">
        <v>81752</v>
      </c>
      <c r="J20" s="3">
        <v>8175</v>
      </c>
      <c r="K20" s="3">
        <v>8175</v>
      </c>
    </row>
    <row r="21" spans="1:11" x14ac:dyDescent="0.3">
      <c r="A21">
        <v>16</v>
      </c>
      <c r="B21" t="s">
        <v>108</v>
      </c>
      <c r="C21" t="s">
        <v>109</v>
      </c>
      <c r="D21" s="4" t="s">
        <v>86</v>
      </c>
      <c r="E21" s="1">
        <v>45573</v>
      </c>
      <c r="F21" s="4" t="s">
        <v>87</v>
      </c>
      <c r="G21" s="1">
        <v>45699</v>
      </c>
      <c r="H21" s="4" t="s">
        <v>88</v>
      </c>
      <c r="I21" s="3">
        <v>79115</v>
      </c>
      <c r="J21" s="3">
        <v>7912</v>
      </c>
      <c r="K21" s="3">
        <v>7912</v>
      </c>
    </row>
    <row r="22" spans="1:11" x14ac:dyDescent="0.3">
      <c r="A22">
        <v>17</v>
      </c>
      <c r="B22" t="s">
        <v>108</v>
      </c>
      <c r="C22" t="s">
        <v>109</v>
      </c>
      <c r="D22" s="4" t="s">
        <v>86</v>
      </c>
      <c r="E22" s="1">
        <v>45543</v>
      </c>
      <c r="F22" s="4" t="s">
        <v>87</v>
      </c>
      <c r="G22" s="1">
        <v>45605</v>
      </c>
      <c r="H22" s="4" t="s">
        <v>88</v>
      </c>
      <c r="I22" s="3">
        <v>81752</v>
      </c>
      <c r="J22" s="3">
        <v>8175</v>
      </c>
      <c r="K22" s="3">
        <v>8175</v>
      </c>
    </row>
    <row r="23" spans="1:11" x14ac:dyDescent="0.3">
      <c r="A23">
        <v>18</v>
      </c>
      <c r="B23" t="s">
        <v>108</v>
      </c>
      <c r="C23" t="s">
        <v>109</v>
      </c>
      <c r="D23" s="4" t="s">
        <v>86</v>
      </c>
      <c r="E23" s="1">
        <v>45512</v>
      </c>
      <c r="F23" s="4" t="s">
        <v>87</v>
      </c>
      <c r="G23" s="1">
        <v>45605</v>
      </c>
      <c r="H23" s="4" t="s">
        <v>88</v>
      </c>
      <c r="I23" s="3">
        <v>81752</v>
      </c>
      <c r="J23" s="3">
        <v>8175</v>
      </c>
      <c r="K23" s="3">
        <v>8175</v>
      </c>
    </row>
    <row r="24" spans="1:11" x14ac:dyDescent="0.3">
      <c r="A24">
        <v>19</v>
      </c>
      <c r="B24" t="s">
        <v>108</v>
      </c>
      <c r="C24" t="s">
        <v>109</v>
      </c>
      <c r="D24" s="4" t="s">
        <v>86</v>
      </c>
      <c r="E24" s="1">
        <v>45481</v>
      </c>
      <c r="F24" s="4" t="s">
        <v>87</v>
      </c>
      <c r="G24" s="1">
        <v>45605</v>
      </c>
      <c r="H24" s="4" t="s">
        <v>88</v>
      </c>
      <c r="I24" s="3">
        <v>79115</v>
      </c>
      <c r="J24" s="3">
        <v>7912</v>
      </c>
      <c r="K24" s="3">
        <v>7912</v>
      </c>
    </row>
    <row r="25" spans="1:11" x14ac:dyDescent="0.3">
      <c r="A25">
        <v>20</v>
      </c>
      <c r="B25" t="s">
        <v>108</v>
      </c>
      <c r="C25" t="s">
        <v>109</v>
      </c>
      <c r="D25" s="4" t="s">
        <v>86</v>
      </c>
      <c r="E25" s="1">
        <v>45451</v>
      </c>
      <c r="F25" s="4" t="s">
        <v>87</v>
      </c>
      <c r="G25" s="1">
        <v>45516</v>
      </c>
      <c r="H25" s="4" t="s">
        <v>88</v>
      </c>
      <c r="I25" s="3">
        <v>81752</v>
      </c>
      <c r="J25" s="3">
        <v>8175</v>
      </c>
      <c r="K25" s="3">
        <v>8175</v>
      </c>
    </row>
    <row r="26" spans="1:11" x14ac:dyDescent="0.3">
      <c r="A26">
        <v>21</v>
      </c>
      <c r="B26" t="s">
        <v>108</v>
      </c>
      <c r="C26" t="s">
        <v>109</v>
      </c>
      <c r="D26" s="4" t="s">
        <v>86</v>
      </c>
      <c r="E26" s="1">
        <v>45420</v>
      </c>
      <c r="F26" s="4" t="s">
        <v>87</v>
      </c>
      <c r="G26" s="1">
        <v>45516</v>
      </c>
      <c r="H26" s="4" t="s">
        <v>88</v>
      </c>
      <c r="I26" s="3">
        <v>79115</v>
      </c>
      <c r="J26" s="3">
        <v>7912</v>
      </c>
      <c r="K26" s="3">
        <v>7912</v>
      </c>
    </row>
    <row r="27" spans="1:11" x14ac:dyDescent="0.3">
      <c r="A27">
        <v>22</v>
      </c>
      <c r="B27" t="s">
        <v>108</v>
      </c>
      <c r="C27" t="s">
        <v>109</v>
      </c>
      <c r="D27" s="4" t="s">
        <v>86</v>
      </c>
      <c r="E27" s="1">
        <v>45390</v>
      </c>
      <c r="F27" s="4" t="s">
        <v>87</v>
      </c>
      <c r="G27" s="1">
        <v>45516</v>
      </c>
      <c r="H27" s="4" t="s">
        <v>88</v>
      </c>
      <c r="I27" s="3">
        <v>21097</v>
      </c>
      <c r="J27" s="3">
        <v>2110</v>
      </c>
      <c r="K27" s="3">
        <v>2110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725C-243A-46F4-87DA-0649EB098FD4}">
  <sheetPr codeName="Sheet13"/>
  <dimension ref="A1:F8"/>
  <sheetViews>
    <sheetView tabSelected="1" workbookViewId="0">
      <selection activeCell="A3" sqref="A3"/>
    </sheetView>
  </sheetViews>
  <sheetFormatPr defaultRowHeight="14.4" x14ac:dyDescent="0.3"/>
  <cols>
    <col min="1" max="1" width="7.109375" bestFit="1" customWidth="1"/>
    <col min="2" max="2" width="26" bestFit="1" customWidth="1"/>
    <col min="3" max="3" width="15" bestFit="1" customWidth="1"/>
    <col min="4" max="4" width="24.33203125" style="3" bestFit="1" customWidth="1"/>
    <col min="5" max="5" width="16" style="3" bestFit="1" customWidth="1"/>
    <col min="6" max="6" width="16.33203125" style="3" bestFit="1" customWidth="1"/>
  </cols>
  <sheetData>
    <row r="1" spans="1:6" x14ac:dyDescent="0.3">
      <c r="A1" s="2" t="str">
        <f>Deductee!A1</f>
        <v>Niranjan Swaminathan</v>
      </c>
    </row>
    <row r="2" spans="1:6" x14ac:dyDescent="0.3">
      <c r="A2" s="2" t="str">
        <f>Deductee!A2</f>
        <v>AIWPN1923H</v>
      </c>
    </row>
    <row r="3" spans="1:6" x14ac:dyDescent="0.3">
      <c r="A3" s="2" t="s">
        <v>27</v>
      </c>
    </row>
    <row r="5" spans="1:6" x14ac:dyDescent="0.3">
      <c r="A5" t="s">
        <v>16</v>
      </c>
      <c r="B5" t="s">
        <v>17</v>
      </c>
      <c r="C5" t="s">
        <v>18</v>
      </c>
      <c r="D5" s="3" t="s">
        <v>28</v>
      </c>
      <c r="E5" s="3" t="s">
        <v>29</v>
      </c>
      <c r="F5" s="3" t="s">
        <v>30</v>
      </c>
    </row>
    <row r="6" spans="1:6" x14ac:dyDescent="0.3">
      <c r="A6">
        <v>1</v>
      </c>
      <c r="B6" t="s">
        <v>103</v>
      </c>
      <c r="C6" t="s">
        <v>104</v>
      </c>
      <c r="D6" s="3">
        <v>31900</v>
      </c>
      <c r="E6" s="3">
        <v>9570</v>
      </c>
      <c r="F6" s="3">
        <v>9570</v>
      </c>
    </row>
    <row r="7" spans="1:6" x14ac:dyDescent="0.3">
      <c r="A7">
        <v>2</v>
      </c>
      <c r="B7" t="s">
        <v>91</v>
      </c>
      <c r="C7" t="s">
        <v>92</v>
      </c>
      <c r="D7" s="3">
        <v>870000</v>
      </c>
      <c r="E7" s="3">
        <v>30680</v>
      </c>
      <c r="F7" s="3">
        <v>30680</v>
      </c>
    </row>
    <row r="8" spans="1:6" x14ac:dyDescent="0.3">
      <c r="A8">
        <v>3</v>
      </c>
      <c r="B8" t="s">
        <v>108</v>
      </c>
      <c r="C8" t="s">
        <v>109</v>
      </c>
      <c r="D8" s="3">
        <v>638532</v>
      </c>
      <c r="E8" s="3">
        <v>63854</v>
      </c>
      <c r="F8" s="3">
        <v>63854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98F6C-3B7E-40F8-9625-A94AD07A2DD9}">
  <sheetPr codeName="Sheet12"/>
  <dimension ref="A1:J6"/>
  <sheetViews>
    <sheetView workbookViewId="0"/>
  </sheetViews>
  <sheetFormatPr defaultRowHeight="14.4" x14ac:dyDescent="0.3"/>
  <cols>
    <col min="1" max="1" width="7.109375" bestFit="1" customWidth="1"/>
    <col min="2" max="2" width="16.5546875" bestFit="1" customWidth="1"/>
    <col min="3" max="3" width="15" bestFit="1" customWidth="1"/>
    <col min="4" max="4" width="9.44140625" bestFit="1" customWidth="1"/>
    <col min="5" max="5" width="17.44140625" bestFit="1" customWidth="1"/>
    <col min="6" max="6" width="14.44140625" bestFit="1" customWidth="1"/>
    <col min="7" max="7" width="15.88671875" bestFit="1" customWidth="1"/>
    <col min="8" max="8" width="28.88671875" bestFit="1" customWidth="1"/>
    <col min="9" max="9" width="19.5546875" bestFit="1" customWidth="1"/>
    <col min="10" max="10" width="20.21875" bestFit="1" customWidth="1"/>
  </cols>
  <sheetData>
    <row r="1" spans="1:10" x14ac:dyDescent="0.3">
      <c r="A1" s="2" t="str">
        <f>Deductee!A1</f>
        <v>Niranjan Swaminathan</v>
      </c>
    </row>
    <row r="2" spans="1:10" x14ac:dyDescent="0.3">
      <c r="A2" s="2" t="str">
        <f>Deductee!A2</f>
        <v>AIWPN1923H</v>
      </c>
    </row>
    <row r="3" spans="1:10" x14ac:dyDescent="0.3">
      <c r="A3" s="2" t="s">
        <v>31</v>
      </c>
    </row>
    <row r="5" spans="1:10" x14ac:dyDescent="0.3">
      <c r="A5" t="s">
        <v>16</v>
      </c>
      <c r="B5" t="s">
        <v>17</v>
      </c>
      <c r="C5" t="s">
        <v>18</v>
      </c>
      <c r="D5" t="s">
        <v>19</v>
      </c>
      <c r="E5" t="s">
        <v>20</v>
      </c>
      <c r="F5" t="s">
        <v>32</v>
      </c>
      <c r="G5" t="s">
        <v>33</v>
      </c>
      <c r="H5" t="s">
        <v>24</v>
      </c>
      <c r="I5" t="s">
        <v>25</v>
      </c>
      <c r="J5" t="s">
        <v>26</v>
      </c>
    </row>
    <row r="6" spans="1:10" x14ac:dyDescent="0.3">
      <c r="A6">
        <v>1</v>
      </c>
      <c r="D6" t="s">
        <v>34</v>
      </c>
      <c r="E6" s="1"/>
      <c r="F6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9904-3EE0-4CB5-AED2-6358F265E27B}">
  <sheetPr codeName="Sheet11"/>
  <dimension ref="A1:F6"/>
  <sheetViews>
    <sheetView workbookViewId="0"/>
  </sheetViews>
  <sheetFormatPr defaultRowHeight="14.4" x14ac:dyDescent="0.3"/>
  <cols>
    <col min="1" max="1" width="7.109375" bestFit="1" customWidth="1"/>
    <col min="2" max="2" width="15" bestFit="1" customWidth="1"/>
    <col min="3" max="3" width="16.5546875" bestFit="1" customWidth="1"/>
    <col min="4" max="4" width="29.109375" bestFit="1" customWidth="1"/>
    <col min="5" max="5" width="19.5546875" bestFit="1" customWidth="1"/>
    <col min="6" max="6" width="19.88671875" bestFit="1" customWidth="1"/>
  </cols>
  <sheetData>
    <row r="1" spans="1:6" x14ac:dyDescent="0.3">
      <c r="A1" s="2" t="str">
        <f>Deductee!A1</f>
        <v>Niranjan Swaminathan</v>
      </c>
    </row>
    <row r="2" spans="1:6" x14ac:dyDescent="0.3">
      <c r="A2" s="2" t="str">
        <f>Deductee!A2</f>
        <v>AIWPN1923H</v>
      </c>
    </row>
    <row r="3" spans="1:6" x14ac:dyDescent="0.3">
      <c r="A3" s="2" t="s">
        <v>35</v>
      </c>
    </row>
    <row r="5" spans="1:6" x14ac:dyDescent="0.3">
      <c r="A5" t="s">
        <v>16</v>
      </c>
      <c r="B5" t="s">
        <v>18</v>
      </c>
      <c r="C5" t="s">
        <v>17</v>
      </c>
      <c r="D5" t="s">
        <v>36</v>
      </c>
      <c r="E5" t="s">
        <v>25</v>
      </c>
      <c r="F5" t="s">
        <v>37</v>
      </c>
    </row>
    <row r="6" spans="1:6" x14ac:dyDescent="0.3">
      <c r="A6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523B5-00A1-4D95-A9E6-0CFF43583D62}">
  <sheetPr codeName="Sheet10"/>
  <dimension ref="A1:J6"/>
  <sheetViews>
    <sheetView workbookViewId="0"/>
  </sheetViews>
  <sheetFormatPr defaultRowHeight="14.4" x14ac:dyDescent="0.3"/>
  <cols>
    <col min="1" max="1" width="7.109375" bestFit="1" customWidth="1"/>
    <col min="2" max="2" width="18.77734375" bestFit="1" customWidth="1"/>
    <col min="3" max="3" width="17.33203125" bestFit="1" customWidth="1"/>
    <col min="4" max="4" width="43.5546875" bestFit="1" customWidth="1"/>
    <col min="5" max="5" width="18.109375" bestFit="1" customWidth="1"/>
    <col min="6" max="6" width="16.77734375" bestFit="1" customWidth="1"/>
    <col min="7" max="7" width="10.44140625" bestFit="1" customWidth="1"/>
    <col min="8" max="8" width="28.88671875" bestFit="1" customWidth="1"/>
    <col min="9" max="9" width="19.5546875" bestFit="1" customWidth="1"/>
    <col min="10" max="10" width="20.21875" bestFit="1" customWidth="1"/>
  </cols>
  <sheetData>
    <row r="1" spans="1:10" x14ac:dyDescent="0.3">
      <c r="A1" s="2" t="str">
        <f>Deductee!A1</f>
        <v>Niranjan Swaminathan</v>
      </c>
    </row>
    <row r="2" spans="1:10" x14ac:dyDescent="0.3">
      <c r="A2" s="2" t="str">
        <f>Deductee!A2</f>
        <v>AIWPN1923H</v>
      </c>
    </row>
    <row r="3" spans="1:10" x14ac:dyDescent="0.3">
      <c r="A3" s="2" t="s">
        <v>38</v>
      </c>
    </row>
    <row r="5" spans="1:10" x14ac:dyDescent="0.3">
      <c r="A5" t="s">
        <v>16</v>
      </c>
      <c r="B5" t="s">
        <v>39</v>
      </c>
      <c r="C5" t="s">
        <v>40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  <c r="I5" t="s">
        <v>25</v>
      </c>
      <c r="J5" t="s">
        <v>26</v>
      </c>
    </row>
    <row r="6" spans="1:10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72204-8C81-4D78-81AE-8621E189398A}">
  <sheetPr codeName="Sheet9"/>
  <dimension ref="A1:G6"/>
  <sheetViews>
    <sheetView workbookViewId="0"/>
  </sheetViews>
  <sheetFormatPr defaultRowHeight="14.4" x14ac:dyDescent="0.3"/>
  <cols>
    <col min="1" max="1" width="8.88671875" bestFit="1" customWidth="1"/>
    <col min="2" max="2" width="26.6640625" bestFit="1" customWidth="1"/>
    <col min="3" max="3" width="18.77734375" bestFit="1" customWidth="1"/>
    <col min="4" max="4" width="43.5546875" bestFit="1" customWidth="1"/>
    <col min="5" max="5" width="17.44140625" bestFit="1" customWidth="1"/>
    <col min="6" max="6" width="29.21875" bestFit="1" customWidth="1"/>
    <col min="7" max="7" width="24.109375" bestFit="1" customWidth="1"/>
    <col min="8" max="8" width="17.33203125" bestFit="1" customWidth="1"/>
    <col min="9" max="9" width="43.5546875" bestFit="1" customWidth="1"/>
    <col min="10" max="10" width="18.109375" bestFit="1" customWidth="1"/>
    <col min="11" max="11" width="26.109375" bestFit="1" customWidth="1"/>
    <col min="12" max="12" width="21.33203125" bestFit="1" customWidth="1"/>
    <col min="13" max="13" width="28.88671875" bestFit="1" customWidth="1"/>
    <col min="14" max="14" width="19.5546875" bestFit="1" customWidth="1"/>
    <col min="15" max="15" width="20.33203125" bestFit="1" customWidth="1"/>
  </cols>
  <sheetData>
    <row r="1" spans="1:7" x14ac:dyDescent="0.3">
      <c r="A1" s="2" t="str">
        <f>Deductee!A1</f>
        <v>Niranjan Swaminathan</v>
      </c>
    </row>
    <row r="2" spans="1:7" x14ac:dyDescent="0.3">
      <c r="A2" s="2" t="str">
        <f>Deductee!A2</f>
        <v>AIWPN1923H</v>
      </c>
    </row>
    <row r="3" spans="1:7" x14ac:dyDescent="0.3">
      <c r="A3" s="2" t="s">
        <v>41</v>
      </c>
    </row>
    <row r="5" spans="1:7" x14ac:dyDescent="0.3">
      <c r="A5" t="s">
        <v>42</v>
      </c>
      <c r="B5" t="s">
        <v>43</v>
      </c>
      <c r="C5" t="s">
        <v>39</v>
      </c>
      <c r="D5" t="s">
        <v>44</v>
      </c>
      <c r="E5" t="s">
        <v>20</v>
      </c>
      <c r="F5" t="s">
        <v>45</v>
      </c>
      <c r="G5" t="s">
        <v>46</v>
      </c>
    </row>
    <row r="6" spans="1:7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DAC54-6E37-4C88-A7A6-EDA2731FAFE1}">
  <sheetPr codeName="Sheet8"/>
  <dimension ref="A1:F6"/>
  <sheetViews>
    <sheetView workbookViewId="0"/>
  </sheetViews>
  <sheetFormatPr defaultRowHeight="14.4" x14ac:dyDescent="0.3"/>
  <cols>
    <col min="1" max="1" width="8.88671875" bestFit="1" customWidth="1"/>
    <col min="2" max="2" width="26.6640625" bestFit="1" customWidth="1"/>
    <col min="3" max="3" width="15.88671875" bestFit="1" customWidth="1"/>
    <col min="4" max="4" width="43.5546875" bestFit="1" customWidth="1"/>
    <col min="5" max="5" width="17.44140625" bestFit="1" customWidth="1"/>
    <col min="6" max="6" width="29.21875" bestFit="1" customWidth="1"/>
    <col min="7" max="7" width="80.88671875" bestFit="1" customWidth="1"/>
    <col min="8" max="8" width="17.33203125" bestFit="1" customWidth="1"/>
    <col min="9" max="9" width="43.5546875" bestFit="1" customWidth="1"/>
    <col min="10" max="10" width="18.109375" bestFit="1" customWidth="1"/>
    <col min="11" max="11" width="26.109375" bestFit="1" customWidth="1"/>
    <col min="12" max="12" width="10.44140625" bestFit="1" customWidth="1"/>
    <col min="13" max="13" width="28.88671875" bestFit="1" customWidth="1"/>
    <col min="14" max="14" width="19.5546875" bestFit="1" customWidth="1"/>
    <col min="15" max="15" width="20.33203125" bestFit="1" customWidth="1"/>
  </cols>
  <sheetData>
    <row r="1" spans="1:6" x14ac:dyDescent="0.3">
      <c r="A1" s="2" t="str">
        <f>Deductee!A1</f>
        <v>Niranjan Swaminathan</v>
      </c>
      <c r="B1" s="2"/>
      <c r="C1" s="2"/>
      <c r="D1" s="2"/>
      <c r="E1" s="2"/>
      <c r="F1" s="2"/>
    </row>
    <row r="2" spans="1:6" x14ac:dyDescent="0.3">
      <c r="A2" s="2" t="str">
        <f>Deductee!A2</f>
        <v>AIWPN1923H</v>
      </c>
      <c r="B2" s="2"/>
      <c r="C2" s="2"/>
      <c r="D2" s="2"/>
      <c r="E2" s="2"/>
      <c r="F2" s="2"/>
    </row>
    <row r="3" spans="1:6" x14ac:dyDescent="0.3">
      <c r="A3" s="2" t="s">
        <v>47</v>
      </c>
      <c r="B3" s="2"/>
      <c r="C3" s="2"/>
      <c r="D3" s="2"/>
      <c r="E3" s="2"/>
      <c r="F3" s="2"/>
    </row>
    <row r="5" spans="1:6" x14ac:dyDescent="0.3">
      <c r="A5" t="s">
        <v>42</v>
      </c>
      <c r="B5" t="s">
        <v>43</v>
      </c>
      <c r="C5" t="s">
        <v>48</v>
      </c>
      <c r="D5" t="s">
        <v>49</v>
      </c>
      <c r="E5" t="s">
        <v>20</v>
      </c>
      <c r="F5" t="s">
        <v>45</v>
      </c>
    </row>
    <row r="6" spans="1:6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FB11C-8CB8-421F-9737-96C33A2DC146}">
  <sheetPr codeName="Sheet7"/>
  <dimension ref="A1:K22"/>
  <sheetViews>
    <sheetView workbookViewId="0"/>
  </sheetViews>
  <sheetFormatPr defaultRowHeight="14.4" x14ac:dyDescent="0.3"/>
  <cols>
    <col min="1" max="1" width="7.109375" bestFit="1" customWidth="1"/>
    <col min="2" max="2" width="22.109375" bestFit="1" customWidth="1"/>
    <col min="3" max="3" width="14.6640625" bestFit="1" customWidth="1"/>
    <col min="4" max="4" width="9.44140625" bestFit="1" customWidth="1"/>
    <col min="5" max="5" width="17.44140625" bestFit="1" customWidth="1"/>
    <col min="6" max="6" width="18.109375" bestFit="1" customWidth="1"/>
    <col min="7" max="7" width="16.77734375" bestFit="1" customWidth="1"/>
    <col min="8" max="8" width="10.44140625" bestFit="1" customWidth="1"/>
    <col min="9" max="9" width="28.5546875" bestFit="1" customWidth="1"/>
    <col min="10" max="10" width="19.109375" bestFit="1" customWidth="1"/>
    <col min="11" max="11" width="20.109375" bestFit="1" customWidth="1"/>
  </cols>
  <sheetData>
    <row r="1" spans="1:11" x14ac:dyDescent="0.3">
      <c r="A1" s="2" t="str">
        <f>Deductee!A1</f>
        <v>Niranjan Swaminathan</v>
      </c>
    </row>
    <row r="2" spans="1:11" x14ac:dyDescent="0.3">
      <c r="A2" s="2" t="str">
        <f>Deductee!A2</f>
        <v>AIWPN1923H</v>
      </c>
    </row>
    <row r="3" spans="1:11" x14ac:dyDescent="0.3">
      <c r="A3" s="2" t="s">
        <v>50</v>
      </c>
    </row>
    <row r="5" spans="1:11" x14ac:dyDescent="0.3">
      <c r="A5" t="s">
        <v>16</v>
      </c>
      <c r="B5" t="s">
        <v>51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t="s">
        <v>23</v>
      </c>
      <c r="I5" t="s">
        <v>53</v>
      </c>
      <c r="J5" t="s">
        <v>54</v>
      </c>
      <c r="K5" t="s">
        <v>55</v>
      </c>
    </row>
    <row r="6" spans="1:11" x14ac:dyDescent="0.3">
      <c r="A6">
        <v>1</v>
      </c>
      <c r="B6" t="s">
        <v>93</v>
      </c>
      <c r="C6" t="s">
        <v>94</v>
      </c>
      <c r="D6" s="4" t="s">
        <v>110</v>
      </c>
      <c r="E6" s="1">
        <v>45738</v>
      </c>
      <c r="F6" s="4" t="s">
        <v>87</v>
      </c>
      <c r="G6" s="1">
        <v>45792</v>
      </c>
      <c r="H6" s="4" t="s">
        <v>88</v>
      </c>
      <c r="I6">
        <v>4800</v>
      </c>
      <c r="J6">
        <v>0</v>
      </c>
      <c r="K6">
        <v>0</v>
      </c>
    </row>
    <row r="7" spans="1:11" x14ac:dyDescent="0.3">
      <c r="A7">
        <v>2</v>
      </c>
      <c r="B7" t="s">
        <v>93</v>
      </c>
      <c r="C7" t="s">
        <v>94</v>
      </c>
      <c r="D7" s="4" t="s">
        <v>110</v>
      </c>
      <c r="E7" s="1">
        <v>45736</v>
      </c>
      <c r="F7" s="4" t="s">
        <v>87</v>
      </c>
      <c r="G7" s="1">
        <v>45792</v>
      </c>
      <c r="H7" s="4" t="s">
        <v>88</v>
      </c>
      <c r="I7">
        <v>28373.86</v>
      </c>
      <c r="J7">
        <v>0</v>
      </c>
      <c r="K7">
        <v>0</v>
      </c>
    </row>
    <row r="8" spans="1:11" x14ac:dyDescent="0.3">
      <c r="A8">
        <v>3</v>
      </c>
      <c r="B8" t="s">
        <v>93</v>
      </c>
      <c r="C8" t="s">
        <v>94</v>
      </c>
      <c r="D8" s="4" t="s">
        <v>110</v>
      </c>
      <c r="E8" s="1">
        <v>45729</v>
      </c>
      <c r="F8" s="4" t="s">
        <v>87</v>
      </c>
      <c r="G8" s="1">
        <v>45792</v>
      </c>
      <c r="H8" s="4" t="s">
        <v>88</v>
      </c>
      <c r="I8">
        <v>4000</v>
      </c>
      <c r="J8">
        <v>0</v>
      </c>
      <c r="K8">
        <v>0</v>
      </c>
    </row>
    <row r="9" spans="1:11" x14ac:dyDescent="0.3">
      <c r="A9">
        <v>4</v>
      </c>
      <c r="B9" t="s">
        <v>93</v>
      </c>
      <c r="C9" t="s">
        <v>94</v>
      </c>
      <c r="D9" s="4" t="s">
        <v>110</v>
      </c>
      <c r="E9" s="1">
        <v>45729</v>
      </c>
      <c r="F9" s="4" t="s">
        <v>87</v>
      </c>
      <c r="G9" s="1">
        <v>45792</v>
      </c>
      <c r="H9" s="4" t="s">
        <v>88</v>
      </c>
      <c r="I9">
        <v>3999.9</v>
      </c>
      <c r="J9">
        <v>0</v>
      </c>
      <c r="K9">
        <v>0</v>
      </c>
    </row>
    <row r="10" spans="1:11" x14ac:dyDescent="0.3">
      <c r="A10">
        <v>5</v>
      </c>
      <c r="B10" t="s">
        <v>93</v>
      </c>
      <c r="C10" t="s">
        <v>94</v>
      </c>
      <c r="D10" s="4" t="s">
        <v>110</v>
      </c>
      <c r="E10" s="1">
        <v>45728</v>
      </c>
      <c r="F10" s="4" t="s">
        <v>87</v>
      </c>
      <c r="G10" s="1">
        <v>45792</v>
      </c>
      <c r="H10" s="4" t="s">
        <v>88</v>
      </c>
      <c r="I10">
        <v>4108.1400000000003</v>
      </c>
      <c r="J10">
        <v>0</v>
      </c>
      <c r="K10">
        <v>0</v>
      </c>
    </row>
    <row r="11" spans="1:11" x14ac:dyDescent="0.3">
      <c r="A11">
        <v>6</v>
      </c>
      <c r="B11" t="s">
        <v>93</v>
      </c>
      <c r="C11" t="s">
        <v>94</v>
      </c>
      <c r="D11" s="4" t="s">
        <v>110</v>
      </c>
      <c r="E11" s="1">
        <v>45728</v>
      </c>
      <c r="F11" s="4" t="s">
        <v>87</v>
      </c>
      <c r="G11" s="1">
        <v>45792</v>
      </c>
      <c r="H11" s="4" t="s">
        <v>88</v>
      </c>
      <c r="I11">
        <v>588</v>
      </c>
      <c r="J11">
        <v>0</v>
      </c>
      <c r="K11">
        <v>0</v>
      </c>
    </row>
    <row r="12" spans="1:11" x14ac:dyDescent="0.3">
      <c r="A12">
        <v>7</v>
      </c>
      <c r="B12" t="s">
        <v>93</v>
      </c>
      <c r="C12" t="s">
        <v>94</v>
      </c>
      <c r="D12" s="4" t="s">
        <v>110</v>
      </c>
      <c r="E12" s="1">
        <v>45702</v>
      </c>
      <c r="F12" s="4" t="s">
        <v>87</v>
      </c>
      <c r="G12" s="1">
        <v>45792</v>
      </c>
      <c r="H12" s="4" t="s">
        <v>88</v>
      </c>
      <c r="I12">
        <v>36577.64</v>
      </c>
      <c r="J12">
        <v>0</v>
      </c>
      <c r="K12">
        <v>0</v>
      </c>
    </row>
    <row r="13" spans="1:11" x14ac:dyDescent="0.3">
      <c r="A13">
        <v>8</v>
      </c>
      <c r="B13" t="s">
        <v>93</v>
      </c>
      <c r="C13" t="s">
        <v>94</v>
      </c>
      <c r="D13" s="4" t="s">
        <v>110</v>
      </c>
      <c r="E13" s="1">
        <v>45642</v>
      </c>
      <c r="F13" s="4" t="s">
        <v>87</v>
      </c>
      <c r="G13" s="1">
        <v>45677</v>
      </c>
      <c r="H13" s="4" t="s">
        <v>88</v>
      </c>
      <c r="I13">
        <v>38710.75</v>
      </c>
      <c r="J13">
        <v>0</v>
      </c>
      <c r="K13">
        <v>0</v>
      </c>
    </row>
    <row r="14" spans="1:11" x14ac:dyDescent="0.3">
      <c r="A14">
        <v>9</v>
      </c>
      <c r="B14" t="s">
        <v>93</v>
      </c>
      <c r="C14" t="s">
        <v>94</v>
      </c>
      <c r="D14" s="4" t="s">
        <v>110</v>
      </c>
      <c r="E14" s="1">
        <v>45624</v>
      </c>
      <c r="F14" s="4" t="s">
        <v>87</v>
      </c>
      <c r="G14" s="1">
        <v>45677</v>
      </c>
      <c r="H14" s="4" t="s">
        <v>88</v>
      </c>
      <c r="I14">
        <v>222344.11</v>
      </c>
      <c r="J14">
        <v>0</v>
      </c>
      <c r="K14">
        <v>0</v>
      </c>
    </row>
    <row r="15" spans="1:11" x14ac:dyDescent="0.3">
      <c r="A15">
        <v>10</v>
      </c>
      <c r="B15" t="s">
        <v>93</v>
      </c>
      <c r="C15" t="s">
        <v>94</v>
      </c>
      <c r="D15" s="4" t="s">
        <v>110</v>
      </c>
      <c r="E15" s="1">
        <v>45605</v>
      </c>
      <c r="F15" s="4" t="s">
        <v>87</v>
      </c>
      <c r="G15" s="1">
        <v>45677</v>
      </c>
      <c r="H15" s="4" t="s">
        <v>88</v>
      </c>
      <c r="I15">
        <v>7579.3</v>
      </c>
      <c r="J15">
        <v>0</v>
      </c>
      <c r="K15">
        <v>0</v>
      </c>
    </row>
    <row r="16" spans="1:11" x14ac:dyDescent="0.3">
      <c r="A16">
        <v>11</v>
      </c>
      <c r="B16" t="s">
        <v>93</v>
      </c>
      <c r="C16" t="s">
        <v>94</v>
      </c>
      <c r="D16" s="4" t="s">
        <v>110</v>
      </c>
      <c r="E16" s="1">
        <v>45582</v>
      </c>
      <c r="F16" s="4" t="s">
        <v>87</v>
      </c>
      <c r="G16" s="1">
        <v>45677</v>
      </c>
      <c r="H16" s="4" t="s">
        <v>88</v>
      </c>
      <c r="I16">
        <v>9008.25</v>
      </c>
      <c r="J16">
        <v>0</v>
      </c>
      <c r="K16">
        <v>0</v>
      </c>
    </row>
    <row r="17" spans="1:11" x14ac:dyDescent="0.3">
      <c r="A17">
        <v>12</v>
      </c>
      <c r="B17" t="s">
        <v>93</v>
      </c>
      <c r="C17" t="s">
        <v>94</v>
      </c>
      <c r="D17" s="4" t="s">
        <v>110</v>
      </c>
      <c r="E17" s="1">
        <v>45536</v>
      </c>
      <c r="F17" s="4" t="s">
        <v>87</v>
      </c>
      <c r="G17" s="1">
        <v>45586</v>
      </c>
      <c r="H17" s="4" t="s">
        <v>88</v>
      </c>
      <c r="I17">
        <v>7000.63</v>
      </c>
      <c r="J17">
        <v>0</v>
      </c>
      <c r="K17">
        <v>0</v>
      </c>
    </row>
    <row r="18" spans="1:11" x14ac:dyDescent="0.3">
      <c r="A18">
        <v>13</v>
      </c>
      <c r="B18" t="s">
        <v>93</v>
      </c>
      <c r="C18" t="s">
        <v>94</v>
      </c>
      <c r="D18" s="4" t="s">
        <v>110</v>
      </c>
      <c r="E18" s="1">
        <v>45530</v>
      </c>
      <c r="F18" s="4" t="s">
        <v>87</v>
      </c>
      <c r="G18" s="1">
        <v>45586</v>
      </c>
      <c r="H18" s="4" t="s">
        <v>88</v>
      </c>
      <c r="I18">
        <v>23592.43</v>
      </c>
      <c r="J18">
        <v>0</v>
      </c>
      <c r="K18">
        <v>0</v>
      </c>
    </row>
    <row r="19" spans="1:11" x14ac:dyDescent="0.3">
      <c r="A19">
        <v>14</v>
      </c>
      <c r="B19" t="s">
        <v>93</v>
      </c>
      <c r="C19" t="s">
        <v>94</v>
      </c>
      <c r="D19" s="4" t="s">
        <v>110</v>
      </c>
      <c r="E19" s="1">
        <v>45429</v>
      </c>
      <c r="F19" s="4" t="s">
        <v>87</v>
      </c>
      <c r="G19" s="1">
        <v>45497</v>
      </c>
      <c r="H19" s="4" t="s">
        <v>88</v>
      </c>
      <c r="I19">
        <v>5698</v>
      </c>
      <c r="J19">
        <v>0</v>
      </c>
      <c r="K19">
        <v>0</v>
      </c>
    </row>
    <row r="20" spans="1:11" x14ac:dyDescent="0.3">
      <c r="A20">
        <v>15</v>
      </c>
      <c r="B20" t="s">
        <v>93</v>
      </c>
      <c r="C20" t="s">
        <v>94</v>
      </c>
      <c r="D20" s="4" t="s">
        <v>110</v>
      </c>
      <c r="E20" s="1">
        <v>45420</v>
      </c>
      <c r="F20" s="4" t="s">
        <v>87</v>
      </c>
      <c r="G20" s="1">
        <v>45497</v>
      </c>
      <c r="H20" s="4" t="s">
        <v>88</v>
      </c>
      <c r="I20">
        <v>2147.37</v>
      </c>
      <c r="J20">
        <v>0</v>
      </c>
      <c r="K20">
        <v>0</v>
      </c>
    </row>
    <row r="21" spans="1:11" x14ac:dyDescent="0.3">
      <c r="A21">
        <v>16</v>
      </c>
      <c r="B21" t="s">
        <v>93</v>
      </c>
      <c r="C21" t="s">
        <v>94</v>
      </c>
      <c r="D21" s="4" t="s">
        <v>110</v>
      </c>
      <c r="E21" s="1">
        <v>45413</v>
      </c>
      <c r="F21" s="4" t="s">
        <v>87</v>
      </c>
      <c r="G21" s="1">
        <v>45497</v>
      </c>
      <c r="H21" s="4" t="s">
        <v>88</v>
      </c>
      <c r="I21">
        <v>2422.2800000000002</v>
      </c>
      <c r="J21">
        <v>0</v>
      </c>
      <c r="K21">
        <v>0</v>
      </c>
    </row>
    <row r="22" spans="1:11" x14ac:dyDescent="0.3">
      <c r="A22">
        <v>17</v>
      </c>
      <c r="B22" t="s">
        <v>93</v>
      </c>
      <c r="C22" t="s">
        <v>94</v>
      </c>
      <c r="D22" s="4" t="s">
        <v>110</v>
      </c>
      <c r="E22" s="1">
        <v>45398</v>
      </c>
      <c r="F22" s="4" t="s">
        <v>87</v>
      </c>
      <c r="G22" s="1">
        <v>45497</v>
      </c>
      <c r="H22" s="4" t="s">
        <v>88</v>
      </c>
      <c r="I22">
        <v>8343.2800000000007</v>
      </c>
      <c r="J22">
        <v>0</v>
      </c>
      <c r="K22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6D956-4E88-481E-89D3-0597D7CE367B}">
  <sheetPr codeName="Sheet6"/>
  <dimension ref="A1:F6"/>
  <sheetViews>
    <sheetView workbookViewId="0"/>
  </sheetViews>
  <sheetFormatPr defaultRowHeight="14.4" x14ac:dyDescent="0.3"/>
  <cols>
    <col min="1" max="1" width="7.109375" bestFit="1" customWidth="1"/>
    <col min="2" max="2" width="14.6640625" bestFit="1" customWidth="1"/>
    <col min="3" max="3" width="22.109375" bestFit="1" customWidth="1"/>
    <col min="4" max="4" width="22.77734375" bestFit="1" customWidth="1"/>
    <col min="5" max="5" width="14.5546875" bestFit="1" customWidth="1"/>
    <col min="6" max="6" width="15.33203125" bestFit="1" customWidth="1"/>
  </cols>
  <sheetData>
    <row r="1" spans="1:6" x14ac:dyDescent="0.3">
      <c r="A1" s="2" t="str">
        <f>Deductee!A1</f>
        <v>Niranjan Swaminathan</v>
      </c>
    </row>
    <row r="2" spans="1:6" x14ac:dyDescent="0.3">
      <c r="A2" s="2" t="str">
        <f>Deductee!A2</f>
        <v>AIWPN1923H</v>
      </c>
    </row>
    <row r="3" spans="1:6" x14ac:dyDescent="0.3">
      <c r="A3" s="2" t="s">
        <v>56</v>
      </c>
    </row>
    <row r="5" spans="1:6" x14ac:dyDescent="0.3">
      <c r="A5" t="s">
        <v>16</v>
      </c>
      <c r="B5" t="s">
        <v>52</v>
      </c>
      <c r="C5" t="s">
        <v>51</v>
      </c>
      <c r="D5" t="s">
        <v>57</v>
      </c>
      <c r="E5" t="s">
        <v>58</v>
      </c>
      <c r="F5" t="s">
        <v>59</v>
      </c>
    </row>
    <row r="6" spans="1:6" x14ac:dyDescent="0.3">
      <c r="A6">
        <v>1</v>
      </c>
      <c r="B6" t="s">
        <v>94</v>
      </c>
      <c r="C6" t="s">
        <v>93</v>
      </c>
      <c r="D6">
        <v>409293.94</v>
      </c>
      <c r="E6">
        <v>0</v>
      </c>
      <c r="F6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1B92B-53E4-4544-ADCD-4FD33DA46BE8}">
  <sheetPr codeName="Sheet5"/>
  <dimension ref="A1:I6"/>
  <sheetViews>
    <sheetView workbookViewId="0"/>
  </sheetViews>
  <sheetFormatPr defaultRowHeight="14.4" x14ac:dyDescent="0.3"/>
  <cols>
    <col min="1" max="1" width="8.88671875" bestFit="1" customWidth="1"/>
    <col min="2" max="2" width="17.21875" bestFit="1" customWidth="1"/>
    <col min="3" max="3" width="8.21875" bestFit="1" customWidth="1"/>
    <col min="4" max="4" width="43.5546875" bestFit="1" customWidth="1"/>
    <col min="5" max="5" width="17.88671875" bestFit="1" customWidth="1"/>
    <col min="6" max="6" width="22.88671875" bestFit="1" customWidth="1"/>
    <col min="7" max="7" width="13.44140625" bestFit="1" customWidth="1"/>
    <col min="8" max="8" width="17.44140625" bestFit="1" customWidth="1"/>
    <col min="9" max="9" width="10.44140625" bestFit="1" customWidth="1"/>
    <col min="10" max="10" width="80.88671875" bestFit="1" customWidth="1"/>
    <col min="11" max="11" width="17.33203125" bestFit="1" customWidth="1"/>
    <col min="12" max="12" width="43.5546875" bestFit="1" customWidth="1"/>
    <col min="13" max="13" width="18.109375" bestFit="1" customWidth="1"/>
    <col min="14" max="14" width="19.6640625" bestFit="1" customWidth="1"/>
    <col min="15" max="15" width="10.88671875" bestFit="1" customWidth="1"/>
    <col min="16" max="16" width="28.88671875" bestFit="1" customWidth="1"/>
    <col min="17" max="17" width="19.5546875" bestFit="1" customWidth="1"/>
    <col min="18" max="18" width="20.33203125" bestFit="1" customWidth="1"/>
  </cols>
  <sheetData>
    <row r="1" spans="1:9" x14ac:dyDescent="0.3">
      <c r="A1" s="2" t="str">
        <f>Deductee!A1</f>
        <v>Niranjan Swaminathan</v>
      </c>
      <c r="B1" s="2"/>
      <c r="C1" s="2"/>
      <c r="D1" s="2"/>
      <c r="E1" s="2"/>
      <c r="F1" s="2"/>
      <c r="G1" s="2"/>
      <c r="H1" s="2"/>
      <c r="I1" s="2"/>
    </row>
    <row r="2" spans="1:9" x14ac:dyDescent="0.3">
      <c r="A2" s="2" t="str">
        <f>Deductee!A2</f>
        <v>AIWPN1923H</v>
      </c>
      <c r="B2" s="2"/>
      <c r="C2" s="2"/>
      <c r="D2" s="2"/>
      <c r="E2" s="2"/>
      <c r="F2" s="2"/>
      <c r="G2" s="2"/>
      <c r="H2" s="2"/>
      <c r="I2" s="2"/>
    </row>
    <row r="3" spans="1:9" x14ac:dyDescent="0.3">
      <c r="A3" s="2" t="s">
        <v>60</v>
      </c>
      <c r="B3" s="2"/>
      <c r="C3" s="2"/>
      <c r="D3" s="2"/>
      <c r="E3" s="2"/>
      <c r="F3" s="2"/>
      <c r="G3" s="2"/>
      <c r="H3" s="2"/>
      <c r="I3" s="2"/>
    </row>
    <row r="5" spans="1:9" x14ac:dyDescent="0.3">
      <c r="A5" t="s">
        <v>42</v>
      </c>
      <c r="B5" t="s">
        <v>6</v>
      </c>
      <c r="C5" t="s">
        <v>61</v>
      </c>
      <c r="D5" t="s">
        <v>62</v>
      </c>
      <c r="E5" t="s">
        <v>63</v>
      </c>
      <c r="F5" t="s">
        <v>64</v>
      </c>
      <c r="G5" t="s">
        <v>65</v>
      </c>
      <c r="H5" t="s">
        <v>66</v>
      </c>
      <c r="I5" t="s">
        <v>23</v>
      </c>
    </row>
    <row r="6" spans="1:9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363B-4DE5-4410-8A82-AB3FF37C5200}">
  <sheetPr codeName="Sheet4"/>
  <dimension ref="A1:H6"/>
  <sheetViews>
    <sheetView workbookViewId="0"/>
  </sheetViews>
  <sheetFormatPr defaultRowHeight="14.4" x14ac:dyDescent="0.3"/>
  <cols>
    <col min="1" max="1" width="8.88671875" bestFit="1" customWidth="1"/>
    <col min="2" max="2" width="26.6640625" bestFit="1" customWidth="1"/>
    <col min="3" max="3" width="19" bestFit="1" customWidth="1"/>
    <col min="4" max="4" width="43.5546875" bestFit="1" customWidth="1"/>
    <col min="5" max="5" width="17.44140625" bestFit="1" customWidth="1"/>
    <col min="6" max="6" width="29.21875" bestFit="1" customWidth="1"/>
    <col min="7" max="7" width="24.109375" bestFit="1" customWidth="1"/>
    <col min="8" max="8" width="41.21875" bestFit="1" customWidth="1"/>
    <col min="9" max="9" width="80.88671875" bestFit="1" customWidth="1"/>
    <col min="10" max="10" width="17.33203125" bestFit="1" customWidth="1"/>
    <col min="11" max="11" width="43.5546875" bestFit="1" customWidth="1"/>
    <col min="12" max="12" width="18.109375" bestFit="1" customWidth="1"/>
    <col min="13" max="13" width="26.109375" bestFit="1" customWidth="1"/>
    <col min="14" max="14" width="21.33203125" bestFit="1" customWidth="1"/>
    <col min="15" max="15" width="37.5546875" bestFit="1" customWidth="1"/>
    <col min="16" max="16" width="19.5546875" bestFit="1" customWidth="1"/>
    <col min="17" max="17" width="20.33203125" bestFit="1" customWidth="1"/>
  </cols>
  <sheetData>
    <row r="1" spans="1:8" x14ac:dyDescent="0.3">
      <c r="A1" s="2" t="str">
        <f>Deductee!A1</f>
        <v>Niranjan Swaminathan</v>
      </c>
      <c r="B1" s="2"/>
      <c r="C1" s="2"/>
      <c r="D1" s="2"/>
      <c r="E1" s="2"/>
      <c r="F1" s="2"/>
      <c r="G1" s="2"/>
      <c r="H1" s="2"/>
    </row>
    <row r="2" spans="1:8" x14ac:dyDescent="0.3">
      <c r="A2" s="2" t="str">
        <f>Deductee!A2</f>
        <v>AIWPN1923H</v>
      </c>
      <c r="B2" s="2"/>
      <c r="C2" s="2"/>
      <c r="D2" s="2"/>
      <c r="E2" s="2"/>
      <c r="F2" s="2"/>
      <c r="G2" s="2"/>
      <c r="H2" s="2"/>
    </row>
    <row r="3" spans="1:8" x14ac:dyDescent="0.3">
      <c r="A3" s="2" t="s">
        <v>67</v>
      </c>
      <c r="B3" s="2"/>
      <c r="C3" s="2"/>
      <c r="D3" s="2"/>
      <c r="E3" s="2"/>
      <c r="F3" s="2"/>
      <c r="G3" s="2"/>
      <c r="H3" s="2"/>
    </row>
    <row r="5" spans="1:8" x14ac:dyDescent="0.3">
      <c r="A5" t="s">
        <v>42</v>
      </c>
      <c r="B5" t="s">
        <v>43</v>
      </c>
      <c r="C5" t="s">
        <v>68</v>
      </c>
      <c r="D5" t="s">
        <v>69</v>
      </c>
      <c r="E5" t="s">
        <v>20</v>
      </c>
      <c r="F5" t="s">
        <v>45</v>
      </c>
      <c r="G5" t="s">
        <v>46</v>
      </c>
      <c r="H5" t="s">
        <v>70</v>
      </c>
    </row>
    <row r="6" spans="1:8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2D6E1-FFE3-45D4-B4CB-D5E784650AA1}">
  <sheetPr codeName="Sheet3"/>
  <dimension ref="A1:G6"/>
  <sheetViews>
    <sheetView workbookViewId="0"/>
  </sheetViews>
  <sheetFormatPr defaultRowHeight="14.4" x14ac:dyDescent="0.3"/>
  <cols>
    <col min="1" max="1" width="8.88671875" bestFit="1" customWidth="1"/>
    <col min="2" max="2" width="26.6640625" bestFit="1" customWidth="1"/>
    <col min="3" max="3" width="15.5546875" bestFit="1" customWidth="1"/>
    <col min="4" max="4" width="43.5546875" bestFit="1" customWidth="1"/>
    <col min="5" max="5" width="17.44140625" bestFit="1" customWidth="1"/>
    <col min="6" max="6" width="29.21875" bestFit="1" customWidth="1"/>
    <col min="7" max="7" width="41.21875" bestFit="1" customWidth="1"/>
    <col min="8" max="8" width="80.88671875" bestFit="1" customWidth="1"/>
    <col min="9" max="9" width="17.33203125" bestFit="1" customWidth="1"/>
    <col min="10" max="10" width="43.5546875" bestFit="1" customWidth="1"/>
    <col min="11" max="11" width="18.109375" bestFit="1" customWidth="1"/>
    <col min="12" max="12" width="26.109375" bestFit="1" customWidth="1"/>
    <col min="13" max="13" width="37.5546875" bestFit="1" customWidth="1"/>
    <col min="14" max="14" width="28.88671875" bestFit="1" customWidth="1"/>
    <col min="15" max="15" width="19.5546875" bestFit="1" customWidth="1"/>
    <col min="16" max="16" width="20.33203125" bestFit="1" customWidth="1"/>
  </cols>
  <sheetData>
    <row r="1" spans="1:7" x14ac:dyDescent="0.3">
      <c r="A1" s="2" t="str">
        <f>Deductee!A1</f>
        <v>Niranjan Swaminathan</v>
      </c>
      <c r="B1" s="2"/>
      <c r="C1" s="2"/>
      <c r="D1" s="2"/>
      <c r="E1" s="2"/>
      <c r="F1" s="2"/>
      <c r="G1" s="2"/>
    </row>
    <row r="2" spans="1:7" x14ac:dyDescent="0.3">
      <c r="A2" s="2" t="str">
        <f>Deductee!A2</f>
        <v>AIWPN1923H</v>
      </c>
      <c r="B2" s="2"/>
      <c r="C2" s="2"/>
      <c r="D2" s="2"/>
      <c r="E2" s="2"/>
      <c r="F2" s="2"/>
      <c r="G2" s="2"/>
    </row>
    <row r="3" spans="1:7" x14ac:dyDescent="0.3">
      <c r="A3" s="2" t="s">
        <v>71</v>
      </c>
      <c r="B3" s="2"/>
      <c r="C3" s="2"/>
      <c r="D3" s="2"/>
      <c r="E3" s="2"/>
      <c r="F3" s="2"/>
      <c r="G3" s="2"/>
    </row>
    <row r="5" spans="1:7" x14ac:dyDescent="0.3">
      <c r="A5" t="s">
        <v>42</v>
      </c>
      <c r="B5" t="s">
        <v>43</v>
      </c>
      <c r="C5" t="s">
        <v>72</v>
      </c>
      <c r="D5" t="s">
        <v>73</v>
      </c>
      <c r="E5" t="s">
        <v>20</v>
      </c>
      <c r="F5" t="s">
        <v>45</v>
      </c>
      <c r="G5" t="s">
        <v>70</v>
      </c>
    </row>
    <row r="6" spans="1:7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32B3-9439-4B2C-B611-0530B308E898}">
  <sheetPr codeName="Sheet2"/>
  <dimension ref="A1:J6"/>
  <sheetViews>
    <sheetView workbookViewId="0"/>
  </sheetViews>
  <sheetFormatPr defaultRowHeight="14.4" x14ac:dyDescent="0.3"/>
  <cols>
    <col min="2" max="2" width="14.6640625" bestFit="1" customWidth="1"/>
    <col min="3" max="3" width="15.88671875" bestFit="1" customWidth="1"/>
    <col min="4" max="4" width="43.5546875" bestFit="1" customWidth="1"/>
    <col min="5" max="5" width="35.88671875" bestFit="1" customWidth="1"/>
    <col min="6" max="6" width="45.77734375" bestFit="1" customWidth="1"/>
    <col min="7" max="7" width="22.77734375" bestFit="1" customWidth="1"/>
    <col min="8" max="8" width="18.77734375" bestFit="1" customWidth="1"/>
    <col min="9" max="9" width="14" bestFit="1" customWidth="1"/>
    <col min="10" max="10" width="7.109375" bestFit="1" customWidth="1"/>
    <col min="11" max="11" width="46.5546875" bestFit="1" customWidth="1"/>
    <col min="12" max="12" width="17.33203125" bestFit="1" customWidth="1"/>
    <col min="13" max="13" width="43.5546875" bestFit="1" customWidth="1"/>
    <col min="14" max="14" width="32.33203125" bestFit="1" customWidth="1"/>
    <col min="15" max="15" width="42.33203125" bestFit="1" customWidth="1"/>
    <col min="16" max="16" width="20.109375" bestFit="1" customWidth="1"/>
    <col min="17" max="17" width="28.88671875" bestFit="1" customWidth="1"/>
    <col min="18" max="18" width="19.5546875" bestFit="1" customWidth="1"/>
    <col min="19" max="19" width="20.33203125" bestFit="1" customWidth="1"/>
  </cols>
  <sheetData>
    <row r="1" spans="1:10" x14ac:dyDescent="0.3">
      <c r="A1" s="2" t="str">
        <f>Deductee!A1</f>
        <v>Niranjan Swaminathan</v>
      </c>
      <c r="J1" s="2" t="str">
        <f>Deductee!A1</f>
        <v>Niranjan Swaminathan</v>
      </c>
    </row>
    <row r="2" spans="1:10" x14ac:dyDescent="0.3">
      <c r="A2" s="2" t="str">
        <f>Deductee!A2</f>
        <v>AIWPN1923H</v>
      </c>
      <c r="J2" s="2" t="str">
        <f>Deductee!A2</f>
        <v>AIWPN1923H</v>
      </c>
    </row>
    <row r="3" spans="1:10" x14ac:dyDescent="0.3">
      <c r="A3" s="2" t="s">
        <v>74</v>
      </c>
      <c r="J3" s="2" t="s">
        <v>74</v>
      </c>
    </row>
    <row r="5" spans="1:10" x14ac:dyDescent="0.3">
      <c r="A5" t="s">
        <v>42</v>
      </c>
      <c r="B5" t="s">
        <v>5</v>
      </c>
      <c r="C5" t="s">
        <v>75</v>
      </c>
      <c r="D5" t="s">
        <v>76</v>
      </c>
      <c r="E5" t="s">
        <v>77</v>
      </c>
      <c r="F5" t="s">
        <v>78</v>
      </c>
      <c r="G5" t="s">
        <v>79</v>
      </c>
      <c r="H5" t="s">
        <v>80</v>
      </c>
      <c r="I5" t="s">
        <v>81</v>
      </c>
    </row>
    <row r="6" spans="1:10" x14ac:dyDescent="0.3">
      <c r="A6" t="s">
        <v>34</v>
      </c>
      <c r="B6" t="s">
        <v>34</v>
      </c>
      <c r="C6" t="s">
        <v>34</v>
      </c>
      <c r="D6" t="s">
        <v>90</v>
      </c>
      <c r="E6" t="s">
        <v>34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1F201EB0D4C5479F8009F60BD3F08F" ma:contentTypeVersion="14" ma:contentTypeDescription="Create a new document." ma:contentTypeScope="" ma:versionID="763b532b52016f30a18efe8a5d5aa552">
  <xsd:schema xmlns:xsd="http://www.w3.org/2001/XMLSchema" xmlns:xs="http://www.w3.org/2001/XMLSchema" xmlns:p="http://schemas.microsoft.com/office/2006/metadata/properties" xmlns:ns2="a7bf857a-725f-4ee2-a5c1-048fbcd38184" xmlns:ns3="7bd53d6a-8672-4e04-8c9a-0d7e64b10f06" targetNamespace="http://schemas.microsoft.com/office/2006/metadata/properties" ma:root="true" ma:fieldsID="6bcb39e6b843d0e1101f3048dea1548c" ns2:_="" ns3:_="">
    <xsd:import namespace="a7bf857a-725f-4ee2-a5c1-048fbcd38184"/>
    <xsd:import namespace="7bd53d6a-8672-4e04-8c9a-0d7e64b10f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bf857a-725f-4ee2-a5c1-048fbcd381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8af52d27-f841-44ac-a4d6-5917627a4f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d53d6a-8672-4e04-8c9a-0d7e64b10f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66fee7c4-173e-4284-979f-4121d1a8266e}" ma:internalName="TaxCatchAll" ma:showField="CatchAllData" ma:web="7bd53d6a-8672-4e04-8c9a-0d7e64b10f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bf857a-725f-4ee2-a5c1-048fbcd38184">
      <Terms xmlns="http://schemas.microsoft.com/office/infopath/2007/PartnerControls"/>
    </lcf76f155ced4ddcb4097134ff3c332f>
    <TaxCatchAll xmlns="7bd53d6a-8672-4e04-8c9a-0d7e64b10f0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F5780623-056B-4176-AF9B-B5C03431C1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FF8EBA-C144-4278-B8DF-4BA3988FDE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bf857a-725f-4ee2-a5c1-048fbcd38184"/>
    <ds:schemaRef ds:uri="7bd53d6a-8672-4e04-8c9a-0d7e64b10f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71CAB9E-822A-4656-B781-D8A2CBE04862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elements/1.1/"/>
    <ds:schemaRef ds:uri="7bd53d6a-8672-4e04-8c9a-0d7e64b10f06"/>
    <ds:schemaRef ds:uri="http://schemas.microsoft.com/office/2006/documentManagement/types"/>
    <ds:schemaRef ds:uri="a7bf857a-725f-4ee2-a5c1-048fbcd38184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0DBD0801-8F7D-4219-ABA5-120F1F62B9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Import</vt:lpstr>
      <vt:lpstr>Deductee</vt:lpstr>
      <vt:lpstr>TDSdetailed</vt:lpstr>
      <vt:lpstr>TDSsummary</vt:lpstr>
      <vt:lpstr>15G_15Hdetailed</vt:lpstr>
      <vt:lpstr>15G_15Hsummary</vt:lpstr>
      <vt:lpstr>Sec194B194R(1)</vt:lpstr>
      <vt:lpstr>194IA</vt:lpstr>
      <vt:lpstr>194S(1)</vt:lpstr>
      <vt:lpstr>TCSdetailed</vt:lpstr>
      <vt:lpstr>TCSsummary</vt:lpstr>
      <vt:lpstr>Paid Refund</vt:lpstr>
      <vt:lpstr>TDS194IA</vt:lpstr>
      <vt:lpstr>DemandPayments</vt:lpstr>
      <vt:lpstr>TDS_TCS Defaults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Balaji K [RVKS-CHN]</dc:creator>
  <cp:keywords/>
  <dc:description/>
  <cp:lastModifiedBy>Balaji R [RVKS-CHN]</cp:lastModifiedBy>
  <cp:revision/>
  <dcterms:created xsi:type="dcterms:W3CDTF">2025-07-20T16:37:10Z</dcterms:created>
  <dcterms:modified xsi:type="dcterms:W3CDTF">2025-08-26T11:17:28Z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0x010100531F201EB0D4C5479F8009F60BD3F08F</vt:lpwstr>
  </property>
  <property fmtid="{D5CDD505-2E9C-101B-9397-08002B2CF9AE}" pid="3" name="MediaServiceImageTags">
    <vt:lpwstr/>
  </property>
</Properties>
</file>